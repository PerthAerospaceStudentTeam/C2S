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Hub\C2S\Testing\C2Sv1\SYSTEM\"/>
    </mc:Choice>
  </mc:AlternateContent>
  <xr:revisionPtr revIDLastSave="0" documentId="13_ncr:1_{EDBBBD5F-01B7-4167-A2E7-D7E1C28045F3}" xr6:coauthVersionLast="47" xr6:coauthVersionMax="47" xr10:uidLastSave="{00000000-0000-0000-0000-000000000000}"/>
  <bookViews>
    <workbookView xWindow="-38520" yWindow="-120" windowWidth="38640" windowHeight="21120" activeTab="2" xr2:uid="{00000000-000D-0000-FFFF-FFFF00000000}"/>
  </bookViews>
  <sheets>
    <sheet name="SYS INFO" sheetId="2" r:id="rId1"/>
    <sheet name="Baselines" sheetId="1" r:id="rId2"/>
    <sheet name="Camera Test" sheetId="4" r:id="rId3"/>
    <sheet name="SleepStop" sheetId="5" r:id="rId4"/>
    <sheet name="Budge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4" l="1"/>
  <c r="L5" i="5"/>
  <c r="C9" i="3"/>
  <c r="K5" i="5"/>
  <c r="K4" i="5"/>
  <c r="K6" i="5" s="1"/>
  <c r="H20" i="5"/>
  <c r="H19" i="5"/>
  <c r="H18" i="5"/>
  <c r="H17" i="5"/>
  <c r="H16" i="5"/>
  <c r="D9" i="3"/>
  <c r="D8" i="3"/>
  <c r="H5" i="5"/>
  <c r="H6" i="5"/>
  <c r="H7" i="5"/>
  <c r="H8" i="5"/>
  <c r="H4" i="5"/>
  <c r="D5" i="5"/>
  <c r="D6" i="5"/>
  <c r="D7" i="5"/>
  <c r="D8" i="5"/>
  <c r="D4" i="5"/>
  <c r="R4" i="4"/>
  <c r="O5" i="4"/>
  <c r="O4" i="4"/>
  <c r="L5" i="4"/>
  <c r="L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4" i="4"/>
  <c r="D5" i="1"/>
  <c r="D6" i="1"/>
  <c r="D7" i="1"/>
  <c r="D8" i="1"/>
  <c r="D4" i="1"/>
  <c r="C9" i="2"/>
  <c r="C8" i="2"/>
  <c r="D10" i="3"/>
  <c r="D3" i="3"/>
  <c r="D5" i="3"/>
  <c r="C6" i="3"/>
  <c r="D6" i="3" s="1"/>
  <c r="D7" i="3"/>
  <c r="N30" i="1"/>
  <c r="K30" i="1"/>
  <c r="H4" i="1"/>
  <c r="H5" i="1"/>
  <c r="H6" i="1"/>
  <c r="H7" i="1"/>
  <c r="H8" i="1"/>
  <c r="L4" i="5" l="1"/>
  <c r="D16" i="3"/>
  <c r="D20" i="3" s="1"/>
  <c r="H22" i="5"/>
  <c r="L6" i="5" s="1"/>
  <c r="R6" i="4"/>
  <c r="W4" i="4"/>
  <c r="O6" i="4"/>
  <c r="L6" i="4"/>
  <c r="D10" i="5"/>
  <c r="H10" i="1"/>
  <c r="D10" i="1"/>
  <c r="W6" i="4" l="1"/>
  <c r="D12" i="3" s="1"/>
  <c r="W5" i="4"/>
  <c r="D11" i="3" s="1"/>
  <c r="D4" i="3"/>
  <c r="H10" i="5" l="1"/>
  <c r="D15" i="3"/>
  <c r="D14" i="3"/>
  <c r="D18" i="3" s="1"/>
  <c r="D13" i="3"/>
  <c r="D17" i="3" s="1"/>
  <c r="D19" i="3" l="1"/>
</calcChain>
</file>

<file path=xl/sharedStrings.xml><?xml version="1.0" encoding="utf-8"?>
<sst xmlns="http://schemas.openxmlformats.org/spreadsheetml/2006/main" count="145" uniqueCount="93">
  <si>
    <t>Test #</t>
  </si>
  <si>
    <t>Shunt Voltage (mV)</t>
  </si>
  <si>
    <t>Item</t>
  </si>
  <si>
    <t>Value</t>
  </si>
  <si>
    <t>Units</t>
  </si>
  <si>
    <t>Shunt Resistor</t>
  </si>
  <si>
    <t>Ohm</t>
  </si>
  <si>
    <t>Estimated System Power (mW)</t>
  </si>
  <si>
    <t>Estimated LED Power (mW)</t>
  </si>
  <si>
    <t>VSEL</t>
  </si>
  <si>
    <t>VCC</t>
  </si>
  <si>
    <t>V</t>
  </si>
  <si>
    <t>Average</t>
  </si>
  <si>
    <t>LED Resistor</t>
  </si>
  <si>
    <t>LED Forward Voltage</t>
  </si>
  <si>
    <t>HSMH-H190</t>
  </si>
  <si>
    <t>Part Number</t>
  </si>
  <si>
    <t>CRCW0603470RFKEC</t>
  </si>
  <si>
    <t>ERJ-6DQF1R6V</t>
  </si>
  <si>
    <t>Shunt Voltage (V)</t>
  </si>
  <si>
    <t>Measured FV with multimeter</t>
  </si>
  <si>
    <t>Notes</t>
  </si>
  <si>
    <t>CSA Power (mW) [QSPI SLEEP]</t>
  </si>
  <si>
    <t>CSA Power (mW) [QSPI ACTIVE]</t>
  </si>
  <si>
    <t>Current Sense Amplifier (Multimeter)</t>
  </si>
  <si>
    <t>3V3 LED (Multimeter)</t>
  </si>
  <si>
    <t>System Power (CSA)</t>
  </si>
  <si>
    <t>Virtually no difference between QSPI in active/sleep mode.</t>
  </si>
  <si>
    <t>Makes sense as difference between the two is 40uA which is approx 130uW.</t>
  </si>
  <si>
    <t>Cannot measure power during read/write as it is a blocking function</t>
  </si>
  <si>
    <t>Can extrapolate from pg. 113 of datasheet</t>
  </si>
  <si>
    <t>Current (mA)</t>
  </si>
  <si>
    <t>Power (mW)</t>
  </si>
  <si>
    <t>QSPI</t>
  </si>
  <si>
    <t>Camera</t>
  </si>
  <si>
    <t>CSA</t>
  </si>
  <si>
    <t>LED</t>
  </si>
  <si>
    <t>HSE</t>
  </si>
  <si>
    <t>LSE</t>
  </si>
  <si>
    <t>System Power (mW)</t>
  </si>
  <si>
    <t>VGA Image</t>
  </si>
  <si>
    <t>QVGA Image</t>
  </si>
  <si>
    <t>Time (ms)</t>
  </si>
  <si>
    <t>CAMERA OFF</t>
  </si>
  <si>
    <t>Average Power (mW)</t>
  </si>
  <si>
    <t>QVGA</t>
  </si>
  <si>
    <t>VGA</t>
  </si>
  <si>
    <t>Image Capture</t>
  </si>
  <si>
    <t>CAMERA ON</t>
  </si>
  <si>
    <t>No Image Capture</t>
  </si>
  <si>
    <t>Image Transfer</t>
  </si>
  <si>
    <t>TRANSFER</t>
  </si>
  <si>
    <t>Difference</t>
  </si>
  <si>
    <t>No apparent difference in power consumption between VGA and QVGA outside of runtime as power difference within one magnitude of uncertainty</t>
  </si>
  <si>
    <t>USB</t>
  </si>
  <si>
    <t>System</t>
  </si>
  <si>
    <t>Power Summary</t>
  </si>
  <si>
    <t>USB (Data)</t>
  </si>
  <si>
    <t>Source</t>
  </si>
  <si>
    <t>Datasheet</t>
  </si>
  <si>
    <t>Measurement</t>
  </si>
  <si>
    <t>STM32CubeMX PCC</t>
  </si>
  <si>
    <t>Calculation</t>
  </si>
  <si>
    <t>LDO (Max)</t>
  </si>
  <si>
    <t>Maximum</t>
  </si>
  <si>
    <t>LDO (Typ.)</t>
  </si>
  <si>
    <t>Typical</t>
  </si>
  <si>
    <t>Measured voltages were exactly ideal values.</t>
  </si>
  <si>
    <t>LDO (Low)</t>
  </si>
  <si>
    <t>RUN MODE</t>
  </si>
  <si>
    <t>SLEEP MODE</t>
  </si>
  <si>
    <t>MCU (Run)</t>
  </si>
  <si>
    <t>Sleep</t>
  </si>
  <si>
    <t>CubeMX PCC</t>
  </si>
  <si>
    <t>Measured</t>
  </si>
  <si>
    <t>Minus power from one LED as MCU light indicates SLEEP MODE</t>
  </si>
  <si>
    <t>LDO Power Loss Ratio</t>
  </si>
  <si>
    <t>Power loss is directly proportional to system power</t>
  </si>
  <si>
    <t>System Power Ratio</t>
  </si>
  <si>
    <t>How much the system actually uses in relation to LDO ratio</t>
  </si>
  <si>
    <t>No need to apply system ratio here. The difference is so small that the ratio would not make an impact on the result</t>
  </si>
  <si>
    <t>Factored System Power (mW)</t>
  </si>
  <si>
    <t>MCU (Sleep)</t>
  </si>
  <si>
    <t>Verified by measurement</t>
  </si>
  <si>
    <t>Low</t>
  </si>
  <si>
    <t>MCU (Stop0)</t>
  </si>
  <si>
    <t>Lowest</t>
  </si>
  <si>
    <t>LDO (Lowest)</t>
  </si>
  <si>
    <t>STOP0 MODE</t>
  </si>
  <si>
    <t>STOP0</t>
  </si>
  <si>
    <t>Power Difference from Run Mode (mW)</t>
  </si>
  <si>
    <t>Theoretical, verified by interpolation from Sleep Test</t>
  </si>
  <si>
    <t>Excludes LED, HSE&amp;LSE Disabled. Purely theoretical. Partially verified by STOP0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</si>
</sst>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2" tint="-0.749992370372631"/>
      <name val="Arial"/>
      <family val="2"/>
    </font>
    <font>
      <i/>
      <sz val="10"/>
      <color theme="2" tint="-0.499984740745262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 tint="0.499984740745262"/>
      <name val="Arial"/>
      <family val="2"/>
    </font>
    <font>
      <i/>
      <sz val="10"/>
      <color theme="1" tint="0.499984740745262"/>
      <name val="Arial"/>
      <family val="2"/>
    </font>
    <font>
      <i/>
      <sz val="8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/>
    <xf numFmtId="1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21BD-7002-446A-8FF9-DEDB49D8BCE4}">
  <dimension ref="B2:F11"/>
  <sheetViews>
    <sheetView workbookViewId="0">
      <selection activeCell="F10" sqref="F10"/>
    </sheetView>
  </sheetViews>
  <sheetFormatPr defaultColWidth="9.140625" defaultRowHeight="14.25" x14ac:dyDescent="0.2"/>
  <cols>
    <col min="1" max="1" width="9.140625" style="2"/>
    <col min="2" max="2" width="34.42578125" style="2" customWidth="1"/>
    <col min="3" max="4" width="12.28515625" style="2" customWidth="1"/>
    <col min="5" max="5" width="33.5703125" style="2" customWidth="1"/>
    <col min="6" max="6" width="74.7109375" style="2" customWidth="1"/>
    <col min="7" max="16384" width="9.140625" style="2"/>
  </cols>
  <sheetData>
    <row r="2" spans="2:6" ht="24" customHeight="1" x14ac:dyDescent="0.2">
      <c r="B2" s="4" t="s">
        <v>2</v>
      </c>
      <c r="C2" s="4" t="s">
        <v>3</v>
      </c>
      <c r="D2" s="4" t="s">
        <v>4</v>
      </c>
      <c r="E2" s="4" t="s">
        <v>16</v>
      </c>
      <c r="F2" s="4" t="s">
        <v>21</v>
      </c>
    </row>
    <row r="3" spans="2:6" ht="15" x14ac:dyDescent="0.2">
      <c r="B3" s="1" t="s">
        <v>5</v>
      </c>
      <c r="C3" s="3">
        <v>1.6</v>
      </c>
      <c r="D3" s="3" t="s">
        <v>6</v>
      </c>
      <c r="E3" s="3" t="s">
        <v>18</v>
      </c>
      <c r="F3" s="5"/>
    </row>
    <row r="4" spans="2:6" ht="15" x14ac:dyDescent="0.2">
      <c r="B4" s="1" t="s">
        <v>9</v>
      </c>
      <c r="C4" s="3">
        <v>5</v>
      </c>
      <c r="D4" s="3" t="s">
        <v>11</v>
      </c>
      <c r="E4" s="3"/>
      <c r="F4" s="5"/>
    </row>
    <row r="5" spans="2:6" ht="15" x14ac:dyDescent="0.2">
      <c r="B5" s="1" t="s">
        <v>10</v>
      </c>
      <c r="C5" s="3">
        <v>3.3</v>
      </c>
      <c r="D5" s="3" t="s">
        <v>11</v>
      </c>
      <c r="E5" s="3"/>
      <c r="F5" s="5"/>
    </row>
    <row r="6" spans="2:6" ht="15" x14ac:dyDescent="0.2">
      <c r="B6" s="1" t="s">
        <v>13</v>
      </c>
      <c r="C6" s="3">
        <v>470</v>
      </c>
      <c r="D6" s="3" t="s">
        <v>6</v>
      </c>
      <c r="E6" s="3" t="s">
        <v>17</v>
      </c>
      <c r="F6" s="5"/>
    </row>
    <row r="7" spans="2:6" ht="15" x14ac:dyDescent="0.2">
      <c r="B7" s="1" t="s">
        <v>14</v>
      </c>
      <c r="C7" s="3">
        <v>1.79</v>
      </c>
      <c r="D7" s="3" t="s">
        <v>11</v>
      </c>
      <c r="E7" s="3" t="s">
        <v>15</v>
      </c>
      <c r="F7" s="5" t="s">
        <v>20</v>
      </c>
    </row>
    <row r="8" spans="2:6" ht="15" x14ac:dyDescent="0.2">
      <c r="B8" s="1" t="s">
        <v>76</v>
      </c>
      <c r="C8" s="7">
        <f>(C4-C5)/C5</f>
        <v>0.51515151515151525</v>
      </c>
      <c r="D8" s="3"/>
      <c r="E8" s="3"/>
      <c r="F8" s="5" t="s">
        <v>77</v>
      </c>
    </row>
    <row r="9" spans="2:6" ht="15" x14ac:dyDescent="0.2">
      <c r="B9" s="1" t="s">
        <v>78</v>
      </c>
      <c r="C9" s="7">
        <f>1/(1+C8)</f>
        <v>0.66</v>
      </c>
      <c r="D9" s="3"/>
      <c r="E9" s="3"/>
      <c r="F9" s="5" t="s">
        <v>79</v>
      </c>
    </row>
    <row r="11" spans="2:6" x14ac:dyDescent="0.2">
      <c r="B11" s="1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8"/>
  <sheetViews>
    <sheetView workbookViewId="0">
      <selection activeCell="B2" sqref="B2:D2"/>
    </sheetView>
  </sheetViews>
  <sheetFormatPr defaultColWidth="9.140625" defaultRowHeight="14.25" x14ac:dyDescent="0.2"/>
  <cols>
    <col min="1" max="1" width="9.140625" style="2"/>
    <col min="2" max="2" width="9" style="2" customWidth="1"/>
    <col min="3" max="3" width="22.85546875" style="2" customWidth="1"/>
    <col min="4" max="4" width="21.5703125" style="2" customWidth="1"/>
    <col min="5" max="5" width="9.140625" style="2"/>
    <col min="6" max="6" width="7.28515625" style="2" bestFit="1" customWidth="1"/>
    <col min="7" max="7" width="19.85546875" style="2" customWidth="1"/>
    <col min="8" max="8" width="22.42578125" style="2" customWidth="1"/>
    <col min="9" max="9" width="9.140625" style="2"/>
    <col min="10" max="10" width="9.42578125" style="2" bestFit="1" customWidth="1"/>
    <col min="11" max="11" width="22.28515625" style="2" customWidth="1"/>
    <col min="12" max="13" width="9.140625" style="2"/>
    <col min="14" max="14" width="20.7109375" style="2" customWidth="1"/>
    <col min="15" max="16384" width="9.140625" style="2"/>
  </cols>
  <sheetData>
    <row r="2" spans="2:14" ht="24" customHeight="1" x14ac:dyDescent="0.2">
      <c r="B2" s="25" t="s">
        <v>24</v>
      </c>
      <c r="C2" s="25"/>
      <c r="D2" s="25"/>
      <c r="F2" s="25" t="s">
        <v>25</v>
      </c>
      <c r="G2" s="25"/>
      <c r="H2" s="25"/>
      <c r="J2" s="26" t="s">
        <v>26</v>
      </c>
      <c r="K2" s="26"/>
      <c r="L2" s="26"/>
      <c r="M2" s="26"/>
      <c r="N2" s="26"/>
    </row>
    <row r="3" spans="2:14" ht="37.5" customHeight="1" x14ac:dyDescent="0.2">
      <c r="B3" s="4" t="s">
        <v>0</v>
      </c>
      <c r="C3" s="6" t="s">
        <v>1</v>
      </c>
      <c r="D3" s="6" t="s">
        <v>7</v>
      </c>
      <c r="F3" s="4" t="s">
        <v>0</v>
      </c>
      <c r="G3" s="6" t="s">
        <v>19</v>
      </c>
      <c r="H3" s="6" t="s">
        <v>8</v>
      </c>
      <c r="J3" s="4" t="s">
        <v>0</v>
      </c>
      <c r="K3" s="6" t="s">
        <v>22</v>
      </c>
      <c r="M3" s="4" t="s">
        <v>0</v>
      </c>
      <c r="N3" s="6" t="s">
        <v>23</v>
      </c>
    </row>
    <row r="4" spans="2:14" x14ac:dyDescent="0.2">
      <c r="B4" s="3">
        <v>1</v>
      </c>
      <c r="C4" s="3">
        <v>49</v>
      </c>
      <c r="D4" s="8">
        <f>(C4/1000)/('SYS INFO'!$C$3)*'SYS INFO'!$C$4*1000 * 'SYS INFO'!$C$9</f>
        <v>101.0625</v>
      </c>
      <c r="F4" s="3">
        <v>1</v>
      </c>
      <c r="G4" s="3">
        <v>1.5169999999999999</v>
      </c>
      <c r="H4" s="7">
        <f>(G4 / 'SYS INFO'!$C$6) * 'SYS INFO'!$C$5 * 1000</f>
        <v>10.651276595744681</v>
      </c>
      <c r="J4" s="3">
        <v>1</v>
      </c>
      <c r="K4" s="3">
        <v>151</v>
      </c>
      <c r="M4" s="3">
        <v>1</v>
      </c>
      <c r="N4" s="3">
        <v>149</v>
      </c>
    </row>
    <row r="5" spans="2:14" x14ac:dyDescent="0.2">
      <c r="B5" s="3">
        <v>2</v>
      </c>
      <c r="C5" s="3">
        <v>48.9</v>
      </c>
      <c r="D5" s="8">
        <f>(C5/1000)/('SYS INFO'!$C$3)*'SYS INFO'!$C$4*1000 * 'SYS INFO'!$C$9</f>
        <v>100.85625</v>
      </c>
      <c r="F5" s="3">
        <v>2</v>
      </c>
      <c r="G5" s="3">
        <v>1.5169999999999999</v>
      </c>
      <c r="H5" s="7">
        <f>(G5 / 'SYS INFO'!$C$6) * 'SYS INFO'!$C$5 * 1000</f>
        <v>10.651276595744681</v>
      </c>
      <c r="J5" s="3">
        <v>2</v>
      </c>
      <c r="K5" s="3">
        <v>150</v>
      </c>
      <c r="M5" s="3">
        <v>2</v>
      </c>
      <c r="N5" s="3">
        <v>152</v>
      </c>
    </row>
    <row r="6" spans="2:14" x14ac:dyDescent="0.2">
      <c r="B6" s="3">
        <v>3</v>
      </c>
      <c r="C6" s="3">
        <v>48.7</v>
      </c>
      <c r="D6" s="8">
        <f>(C6/1000)/('SYS INFO'!$C$3)*'SYS INFO'!$C$4*1000 * 'SYS INFO'!$C$9</f>
        <v>100.44375000000001</v>
      </c>
      <c r="F6" s="3">
        <v>3</v>
      </c>
      <c r="G6" s="3">
        <v>1.5169999999999999</v>
      </c>
      <c r="H6" s="7">
        <f>(G6 / 'SYS INFO'!$C$6) * 'SYS INFO'!$C$5 * 1000</f>
        <v>10.651276595744681</v>
      </c>
      <c r="J6" s="3">
        <v>3</v>
      </c>
      <c r="K6" s="3">
        <v>150</v>
      </c>
      <c r="M6" s="3">
        <v>3</v>
      </c>
      <c r="N6" s="3">
        <v>150</v>
      </c>
    </row>
    <row r="7" spans="2:14" x14ac:dyDescent="0.2">
      <c r="B7" s="3">
        <v>4</v>
      </c>
      <c r="C7" s="3">
        <v>48.7</v>
      </c>
      <c r="D7" s="8">
        <f>(C7/1000)/('SYS INFO'!$C$3)*'SYS INFO'!$C$4*1000 * 'SYS INFO'!$C$9</f>
        <v>100.44375000000001</v>
      </c>
      <c r="F7" s="3">
        <v>4</v>
      </c>
      <c r="G7" s="3">
        <v>1.5169999999999999</v>
      </c>
      <c r="H7" s="7">
        <f>(G7 / 'SYS INFO'!$C$6) * 'SYS INFO'!$C$5 * 1000</f>
        <v>10.651276595744681</v>
      </c>
      <c r="J7" s="3">
        <v>4</v>
      </c>
      <c r="K7" s="3">
        <v>149</v>
      </c>
      <c r="M7" s="3">
        <v>4</v>
      </c>
      <c r="N7" s="3">
        <v>149</v>
      </c>
    </row>
    <row r="8" spans="2:14" x14ac:dyDescent="0.2">
      <c r="B8" s="3">
        <v>5</v>
      </c>
      <c r="C8" s="3">
        <v>49</v>
      </c>
      <c r="D8" s="8">
        <f>(C8/1000)/('SYS INFO'!$C$3)*'SYS INFO'!$C$4*1000 * 'SYS INFO'!$C$9</f>
        <v>101.0625</v>
      </c>
      <c r="F8" s="3">
        <v>5</v>
      </c>
      <c r="G8" s="3">
        <v>1.518</v>
      </c>
      <c r="H8" s="7">
        <f>(G8 / 'SYS INFO'!$C$6) * 'SYS INFO'!$C$5 * 1000</f>
        <v>10.658297872340425</v>
      </c>
      <c r="J8" s="3">
        <v>5</v>
      </c>
      <c r="K8" s="3">
        <v>149</v>
      </c>
      <c r="M8" s="3">
        <v>5</v>
      </c>
      <c r="N8" s="3">
        <v>152</v>
      </c>
    </row>
    <row r="9" spans="2:14" x14ac:dyDescent="0.2">
      <c r="J9" s="3">
        <v>6</v>
      </c>
      <c r="K9" s="3">
        <v>151</v>
      </c>
      <c r="M9" s="3">
        <v>6</v>
      </c>
      <c r="N9" s="3">
        <v>152</v>
      </c>
    </row>
    <row r="10" spans="2:14" ht="15" x14ac:dyDescent="0.2">
      <c r="C10" s="6" t="s">
        <v>12</v>
      </c>
      <c r="D10" s="10">
        <f>AVERAGE(D4:D8)</f>
        <v>100.77375000000001</v>
      </c>
      <c r="G10" s="6" t="s">
        <v>12</v>
      </c>
      <c r="H10" s="9">
        <f>AVERAGE(H4:H8)</f>
        <v>10.652680851063831</v>
      </c>
      <c r="J10" s="3">
        <v>7</v>
      </c>
      <c r="K10" s="3">
        <v>151</v>
      </c>
      <c r="M10" s="3">
        <v>7</v>
      </c>
      <c r="N10" s="3">
        <v>149</v>
      </c>
    </row>
    <row r="11" spans="2:14" x14ac:dyDescent="0.2">
      <c r="J11" s="3">
        <v>8</v>
      </c>
      <c r="K11" s="3">
        <v>150</v>
      </c>
      <c r="M11" s="3">
        <v>8</v>
      </c>
      <c r="N11" s="3">
        <v>150</v>
      </c>
    </row>
    <row r="12" spans="2:14" x14ac:dyDescent="0.2">
      <c r="J12" s="3">
        <v>9</v>
      </c>
      <c r="K12" s="3">
        <v>152</v>
      </c>
      <c r="M12" s="3">
        <v>9</v>
      </c>
      <c r="N12" s="3">
        <v>152</v>
      </c>
    </row>
    <row r="13" spans="2:14" x14ac:dyDescent="0.2">
      <c r="J13" s="3">
        <v>10</v>
      </c>
      <c r="K13" s="3">
        <v>152</v>
      </c>
      <c r="M13" s="3">
        <v>10</v>
      </c>
      <c r="N13" s="3">
        <v>151</v>
      </c>
    </row>
    <row r="14" spans="2:14" x14ac:dyDescent="0.2">
      <c r="J14" s="3">
        <v>11</v>
      </c>
      <c r="K14" s="3">
        <v>152</v>
      </c>
      <c r="M14" s="3">
        <v>11</v>
      </c>
      <c r="N14" s="3">
        <v>150</v>
      </c>
    </row>
    <row r="15" spans="2:14" x14ac:dyDescent="0.2">
      <c r="J15" s="3">
        <v>12</v>
      </c>
      <c r="K15" s="3">
        <v>153</v>
      </c>
      <c r="M15" s="3">
        <v>12</v>
      </c>
      <c r="N15" s="3">
        <v>150</v>
      </c>
    </row>
    <row r="16" spans="2:14" x14ac:dyDescent="0.2">
      <c r="J16" s="3">
        <v>13</v>
      </c>
      <c r="K16" s="3">
        <v>150</v>
      </c>
      <c r="M16" s="3">
        <v>13</v>
      </c>
      <c r="N16" s="3">
        <v>149</v>
      </c>
    </row>
    <row r="17" spans="10:14" x14ac:dyDescent="0.2">
      <c r="J17" s="3">
        <v>14</v>
      </c>
      <c r="K17" s="3">
        <v>149</v>
      </c>
      <c r="M17" s="3">
        <v>14</v>
      </c>
      <c r="N17" s="3">
        <v>151</v>
      </c>
    </row>
    <row r="18" spans="10:14" x14ac:dyDescent="0.2">
      <c r="J18" s="3">
        <v>15</v>
      </c>
      <c r="K18" s="3">
        <v>149</v>
      </c>
      <c r="M18" s="3">
        <v>15</v>
      </c>
      <c r="N18" s="3">
        <v>151</v>
      </c>
    </row>
    <row r="19" spans="10:14" x14ac:dyDescent="0.2">
      <c r="J19" s="3">
        <v>16</v>
      </c>
      <c r="K19" s="3">
        <v>151</v>
      </c>
      <c r="M19" s="3">
        <v>16</v>
      </c>
      <c r="N19" s="3">
        <v>152</v>
      </c>
    </row>
    <row r="20" spans="10:14" x14ac:dyDescent="0.2">
      <c r="J20" s="3">
        <v>17</v>
      </c>
      <c r="K20" s="3">
        <v>153</v>
      </c>
      <c r="M20" s="3">
        <v>17</v>
      </c>
      <c r="N20" s="3">
        <v>149</v>
      </c>
    </row>
    <row r="21" spans="10:14" x14ac:dyDescent="0.2">
      <c r="J21" s="3">
        <v>18</v>
      </c>
      <c r="K21" s="3">
        <v>151</v>
      </c>
      <c r="M21" s="3">
        <v>18</v>
      </c>
      <c r="N21" s="3">
        <v>154</v>
      </c>
    </row>
    <row r="22" spans="10:14" x14ac:dyDescent="0.2">
      <c r="J22" s="3">
        <v>19</v>
      </c>
      <c r="K22" s="3">
        <v>151</v>
      </c>
      <c r="M22" s="3">
        <v>19</v>
      </c>
      <c r="N22" s="3">
        <v>152</v>
      </c>
    </row>
    <row r="23" spans="10:14" x14ac:dyDescent="0.2">
      <c r="J23" s="3">
        <v>20</v>
      </c>
      <c r="K23" s="3">
        <v>151</v>
      </c>
      <c r="M23" s="3">
        <v>20</v>
      </c>
      <c r="N23" s="3">
        <v>151</v>
      </c>
    </row>
    <row r="24" spans="10:14" x14ac:dyDescent="0.2">
      <c r="J24" s="3">
        <v>21</v>
      </c>
      <c r="K24" s="3">
        <v>148</v>
      </c>
      <c r="M24" s="3">
        <v>21</v>
      </c>
      <c r="N24" s="3">
        <v>151</v>
      </c>
    </row>
    <row r="25" spans="10:14" x14ac:dyDescent="0.2">
      <c r="J25" s="3">
        <v>22</v>
      </c>
      <c r="K25" s="3">
        <v>148</v>
      </c>
      <c r="M25" s="3">
        <v>22</v>
      </c>
      <c r="N25" s="3">
        <v>150</v>
      </c>
    </row>
    <row r="26" spans="10:14" x14ac:dyDescent="0.2">
      <c r="J26" s="3">
        <v>23</v>
      </c>
      <c r="K26" s="3">
        <v>152</v>
      </c>
      <c r="M26" s="3">
        <v>23</v>
      </c>
      <c r="N26" s="3">
        <v>152</v>
      </c>
    </row>
    <row r="27" spans="10:14" x14ac:dyDescent="0.2">
      <c r="J27" s="3">
        <v>24</v>
      </c>
      <c r="K27" s="3">
        <v>151</v>
      </c>
      <c r="M27" s="3">
        <v>24</v>
      </c>
      <c r="N27" s="3">
        <v>150</v>
      </c>
    </row>
    <row r="28" spans="10:14" x14ac:dyDescent="0.2">
      <c r="J28" s="3">
        <v>25</v>
      </c>
      <c r="K28" s="3">
        <v>148</v>
      </c>
      <c r="M28" s="3">
        <v>25</v>
      </c>
      <c r="N28" s="3">
        <v>149</v>
      </c>
    </row>
    <row r="30" spans="10:14" ht="30" x14ac:dyDescent="0.2">
      <c r="J30" s="6" t="s">
        <v>12</v>
      </c>
      <c r="K30" s="8">
        <f>AVERAGE(K4:K28)</f>
        <v>150.47999999999999</v>
      </c>
      <c r="M30" s="6" t="s">
        <v>12</v>
      </c>
      <c r="N30" s="8">
        <f>AVERAGE(N4:N28)</f>
        <v>150.68</v>
      </c>
    </row>
    <row r="32" spans="10:14" x14ac:dyDescent="0.2">
      <c r="J32" s="2" t="s">
        <v>27</v>
      </c>
    </row>
    <row r="33" spans="10:10" x14ac:dyDescent="0.2">
      <c r="J33" s="2" t="s">
        <v>28</v>
      </c>
    </row>
    <row r="35" spans="10:10" x14ac:dyDescent="0.2">
      <c r="J35" s="2" t="s">
        <v>29</v>
      </c>
    </row>
    <row r="36" spans="10:10" x14ac:dyDescent="0.2">
      <c r="J36" s="2" t="s">
        <v>30</v>
      </c>
    </row>
    <row r="38" spans="10:10" x14ac:dyDescent="0.2">
      <c r="J38" s="2" t="s">
        <v>80</v>
      </c>
    </row>
  </sheetData>
  <mergeCells count="3">
    <mergeCell ref="B2:D2"/>
    <mergeCell ref="F2:H2"/>
    <mergeCell ref="J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3DF8-6718-44FD-B74D-334594AAEDEC}">
  <dimension ref="B2:W114"/>
  <sheetViews>
    <sheetView tabSelected="1" topLeftCell="C1" workbookViewId="0">
      <selection activeCell="T5" sqref="T5"/>
    </sheetView>
  </sheetViews>
  <sheetFormatPr defaultColWidth="9.140625" defaultRowHeight="14.25" x14ac:dyDescent="0.25"/>
  <cols>
    <col min="1" max="1" width="9.140625" style="11"/>
    <col min="2" max="2" width="13.28515625" style="11" customWidth="1"/>
    <col min="3" max="3" width="15.42578125" style="11" bestFit="1" customWidth="1"/>
    <col min="4" max="4" width="17.7109375" style="11" bestFit="1" customWidth="1"/>
    <col min="5" max="5" width="14.7109375" style="11" bestFit="1" customWidth="1"/>
    <col min="6" max="6" width="13.42578125" style="11" customWidth="1"/>
    <col min="7" max="7" width="15.42578125" style="11" customWidth="1"/>
    <col min="8" max="8" width="17.7109375" style="11" bestFit="1" customWidth="1"/>
    <col min="9" max="9" width="14.7109375" style="11" bestFit="1" customWidth="1"/>
    <col min="10" max="10" width="14.7109375" style="11" customWidth="1"/>
    <col min="11" max="11" width="13.7109375" style="11" customWidth="1"/>
    <col min="12" max="12" width="14.7109375" style="11" customWidth="1"/>
    <col min="13" max="13" width="9.140625" style="11"/>
    <col min="14" max="14" width="11.7109375" style="11" bestFit="1" customWidth="1"/>
    <col min="15" max="15" width="15.85546875" style="11" customWidth="1"/>
    <col min="16" max="16" width="9.140625" style="11"/>
    <col min="17" max="17" width="11.7109375" style="11" bestFit="1" customWidth="1"/>
    <col min="18" max="18" width="13.85546875" style="11" customWidth="1"/>
    <col min="19" max="21" width="9.140625" style="11"/>
    <col min="22" max="22" width="12.140625" style="11" customWidth="1"/>
    <col min="23" max="23" width="14.140625" style="11" customWidth="1"/>
    <col min="24" max="16384" width="9.140625" style="11"/>
  </cols>
  <sheetData>
    <row r="2" spans="2:23" ht="24" customHeight="1" x14ac:dyDescent="0.25">
      <c r="B2" s="28" t="s">
        <v>41</v>
      </c>
      <c r="C2" s="28"/>
      <c r="D2" s="16"/>
      <c r="F2" s="28" t="s">
        <v>40</v>
      </c>
      <c r="G2" s="28"/>
      <c r="H2" s="16"/>
      <c r="K2" s="27" t="s">
        <v>47</v>
      </c>
      <c r="L2" s="27"/>
      <c r="M2" s="17"/>
      <c r="N2" s="27" t="s">
        <v>49</v>
      </c>
      <c r="O2" s="27"/>
      <c r="P2" s="17"/>
      <c r="Q2" s="27" t="s">
        <v>50</v>
      </c>
      <c r="R2" s="27"/>
      <c r="S2" s="17"/>
      <c r="T2" s="17"/>
      <c r="U2" s="17"/>
      <c r="V2" s="27" t="s">
        <v>56</v>
      </c>
      <c r="W2" s="27"/>
    </row>
    <row r="3" spans="2:23" ht="45" x14ac:dyDescent="0.25">
      <c r="B3" s="6" t="s">
        <v>42</v>
      </c>
      <c r="C3" s="6" t="s">
        <v>39</v>
      </c>
      <c r="D3" s="6" t="s">
        <v>81</v>
      </c>
      <c r="F3" s="6" t="s">
        <v>42</v>
      </c>
      <c r="G3" s="6" t="s">
        <v>39</v>
      </c>
      <c r="H3" s="6" t="s">
        <v>81</v>
      </c>
      <c r="L3" s="6" t="s">
        <v>44</v>
      </c>
      <c r="O3" s="6" t="s">
        <v>44</v>
      </c>
      <c r="R3" s="6" t="s">
        <v>44</v>
      </c>
      <c r="W3" s="6" t="s">
        <v>44</v>
      </c>
    </row>
    <row r="4" spans="2:23" ht="15" x14ac:dyDescent="0.25">
      <c r="B4" s="3">
        <v>75</v>
      </c>
      <c r="C4" s="3">
        <v>298</v>
      </c>
      <c r="D4" s="19">
        <f>C4*'SYS INFO'!$C$9</f>
        <v>196.68</v>
      </c>
      <c r="E4" s="12" t="s">
        <v>48</v>
      </c>
      <c r="F4" s="3">
        <v>75</v>
      </c>
      <c r="G4" s="3">
        <v>149</v>
      </c>
      <c r="H4" s="19">
        <f>G4 * 'SYS INFO'!$C$9</f>
        <v>98.34</v>
      </c>
      <c r="I4" s="12" t="s">
        <v>48</v>
      </c>
      <c r="K4" s="6" t="s">
        <v>45</v>
      </c>
      <c r="L4" s="8">
        <f>AVERAGE(D4:D43)</f>
        <v>149.24250000000001</v>
      </c>
      <c r="N4" s="6" t="s">
        <v>45</v>
      </c>
      <c r="O4" s="8">
        <f>AVERAGE(D44:D80)</f>
        <v>99.267567567567582</v>
      </c>
      <c r="Q4" s="6" t="s">
        <v>45</v>
      </c>
      <c r="R4" s="8">
        <f>AVERAGE(C82:C88)</f>
        <v>158.14285714285714</v>
      </c>
      <c r="V4" s="6" t="s">
        <v>55</v>
      </c>
      <c r="W4" s="8">
        <f>AVERAGE(O4:O5)</f>
        <v>98.018918918918899</v>
      </c>
    </row>
    <row r="5" spans="2:23" ht="15" x14ac:dyDescent="0.25">
      <c r="B5" s="3">
        <v>150</v>
      </c>
      <c r="C5" s="3">
        <v>220</v>
      </c>
      <c r="D5" s="19">
        <f>C5*'SYS INFO'!$C$9</f>
        <v>145.20000000000002</v>
      </c>
      <c r="F5" s="3">
        <v>150</v>
      </c>
      <c r="G5" s="3">
        <v>217</v>
      </c>
      <c r="H5" s="19">
        <f>G5 * 'SYS INFO'!$C$9</f>
        <v>143.22</v>
      </c>
      <c r="K5" s="6" t="s">
        <v>46</v>
      </c>
      <c r="L5" s="8">
        <f>AVERAGE(H5:H43)</f>
        <v>151.39384615384614</v>
      </c>
      <c r="N5" s="6" t="s">
        <v>46</v>
      </c>
      <c r="O5" s="8">
        <f>AVERAGE(H44:H80)</f>
        <v>96.770270270270217</v>
      </c>
      <c r="Q5" s="6" t="s">
        <v>46</v>
      </c>
      <c r="R5" s="8">
        <f>AVERAGE(G81:G114)</f>
        <v>161.5</v>
      </c>
      <c r="V5" s="6" t="s">
        <v>34</v>
      </c>
      <c r="W5" s="8">
        <f>AVERAGE(L4:L5)-W4</f>
        <v>52.299254158004175</v>
      </c>
    </row>
    <row r="6" spans="2:23" ht="15" x14ac:dyDescent="0.25">
      <c r="B6" s="3">
        <v>225</v>
      </c>
      <c r="C6" s="3">
        <v>220</v>
      </c>
      <c r="D6" s="19">
        <f>C6*'SYS INFO'!$C$9</f>
        <v>145.20000000000002</v>
      </c>
      <c r="F6" s="3">
        <v>225</v>
      </c>
      <c r="G6" s="3">
        <v>218</v>
      </c>
      <c r="H6" s="19">
        <f>G6 * 'SYS INFO'!$C$9</f>
        <v>143.88</v>
      </c>
      <c r="K6" s="6" t="s">
        <v>52</v>
      </c>
      <c r="L6" s="8">
        <f>ABS(L4-L5)</f>
        <v>2.1513461538461343</v>
      </c>
      <c r="N6" s="6" t="s">
        <v>52</v>
      </c>
      <c r="O6" s="8">
        <f>ABS(O4-O5)</f>
        <v>2.497297297297365</v>
      </c>
      <c r="Q6" s="6" t="s">
        <v>52</v>
      </c>
      <c r="R6" s="8">
        <f>ABS(R4-R5)</f>
        <v>3.3571428571428612</v>
      </c>
      <c r="V6" s="6" t="s">
        <v>54</v>
      </c>
      <c r="W6" s="8">
        <f>AVERAGE(R4:R5)-W4</f>
        <v>61.802509652509656</v>
      </c>
    </row>
    <row r="7" spans="2:23" x14ac:dyDescent="0.25">
      <c r="B7" s="3">
        <v>300</v>
      </c>
      <c r="C7" s="3">
        <v>219</v>
      </c>
      <c r="D7" s="19">
        <f>C7*'SYS INFO'!$C$9</f>
        <v>144.54000000000002</v>
      </c>
      <c r="F7" s="3">
        <v>300</v>
      </c>
      <c r="G7" s="3">
        <v>221</v>
      </c>
      <c r="H7" s="19">
        <f>G7 * 'SYS INFO'!$C$9</f>
        <v>145.86000000000001</v>
      </c>
    </row>
    <row r="8" spans="2:23" x14ac:dyDescent="0.25">
      <c r="B8" s="3">
        <v>375</v>
      </c>
      <c r="C8" s="3">
        <v>220</v>
      </c>
      <c r="D8" s="19">
        <f>C8*'SYS INFO'!$C$9</f>
        <v>145.20000000000002</v>
      </c>
      <c r="F8" s="3">
        <v>375</v>
      </c>
      <c r="G8" s="3">
        <v>222</v>
      </c>
      <c r="H8" s="19">
        <f>G8 * 'SYS INFO'!$C$9</f>
        <v>146.52000000000001</v>
      </c>
    </row>
    <row r="9" spans="2:23" x14ac:dyDescent="0.25">
      <c r="B9" s="3">
        <v>450</v>
      </c>
      <c r="C9" s="3">
        <v>223</v>
      </c>
      <c r="D9" s="19">
        <f>C9*'SYS INFO'!$C$9</f>
        <v>147.18</v>
      </c>
      <c r="F9" s="3">
        <v>450</v>
      </c>
      <c r="G9" s="3">
        <v>220</v>
      </c>
      <c r="H9" s="19">
        <f>G9 * 'SYS INFO'!$C$9</f>
        <v>145.20000000000002</v>
      </c>
      <c r="N9" s="13" t="s">
        <v>53</v>
      </c>
    </row>
    <row r="10" spans="2:23" x14ac:dyDescent="0.25">
      <c r="B10" s="3">
        <v>525</v>
      </c>
      <c r="C10" s="3">
        <v>222</v>
      </c>
      <c r="D10" s="19">
        <f>C10*'SYS INFO'!$C$9</f>
        <v>146.52000000000001</v>
      </c>
      <c r="F10" s="3">
        <v>525</v>
      </c>
      <c r="G10" s="3">
        <v>225</v>
      </c>
      <c r="H10" s="19">
        <f>G10 * 'SYS INFO'!$C$9</f>
        <v>148.5</v>
      </c>
    </row>
    <row r="11" spans="2:23" x14ac:dyDescent="0.25">
      <c r="B11" s="3">
        <v>600</v>
      </c>
      <c r="C11" s="3">
        <v>223</v>
      </c>
      <c r="D11" s="19">
        <f>C11*'SYS INFO'!$C$9</f>
        <v>147.18</v>
      </c>
      <c r="F11" s="3">
        <v>600</v>
      </c>
      <c r="G11" s="3">
        <v>223</v>
      </c>
      <c r="H11" s="19">
        <f>G11 * 'SYS INFO'!$C$9</f>
        <v>147.18</v>
      </c>
    </row>
    <row r="12" spans="2:23" x14ac:dyDescent="0.25">
      <c r="B12" s="3">
        <v>675</v>
      </c>
      <c r="C12" s="3">
        <v>222</v>
      </c>
      <c r="D12" s="19">
        <f>C12*'SYS INFO'!$C$9</f>
        <v>146.52000000000001</v>
      </c>
      <c r="F12" s="3">
        <v>675</v>
      </c>
      <c r="G12" s="3">
        <v>218</v>
      </c>
      <c r="H12" s="19">
        <f>G12 * 'SYS INFO'!$C$9</f>
        <v>143.88</v>
      </c>
    </row>
    <row r="13" spans="2:23" x14ac:dyDescent="0.25">
      <c r="B13" s="3">
        <v>750</v>
      </c>
      <c r="C13" s="3">
        <v>227</v>
      </c>
      <c r="D13" s="19">
        <f>C13*'SYS INFO'!$C$9</f>
        <v>149.82</v>
      </c>
      <c r="F13" s="3">
        <v>750</v>
      </c>
      <c r="G13" s="3">
        <v>219</v>
      </c>
      <c r="H13" s="19">
        <f>G13 * 'SYS INFO'!$C$9</f>
        <v>144.54000000000002</v>
      </c>
    </row>
    <row r="14" spans="2:23" x14ac:dyDescent="0.25">
      <c r="B14" s="3">
        <v>825</v>
      </c>
      <c r="C14" s="3">
        <v>223</v>
      </c>
      <c r="D14" s="19">
        <f>C14*'SYS INFO'!$C$9</f>
        <v>147.18</v>
      </c>
      <c r="F14" s="3">
        <v>825</v>
      </c>
      <c r="G14" s="3">
        <v>218</v>
      </c>
      <c r="H14" s="19">
        <f>G14 * 'SYS INFO'!$C$9</f>
        <v>143.88</v>
      </c>
    </row>
    <row r="15" spans="2:23" x14ac:dyDescent="0.25">
      <c r="B15" s="3">
        <v>900</v>
      </c>
      <c r="C15" s="3">
        <v>223</v>
      </c>
      <c r="D15" s="19">
        <f>C15*'SYS INFO'!$C$9</f>
        <v>147.18</v>
      </c>
      <c r="F15" s="3">
        <v>900</v>
      </c>
      <c r="G15" s="3">
        <v>218</v>
      </c>
      <c r="H15" s="19">
        <f>G15 * 'SYS INFO'!$C$9</f>
        <v>143.88</v>
      </c>
    </row>
    <row r="16" spans="2:23" x14ac:dyDescent="0.25">
      <c r="B16" s="3">
        <v>975</v>
      </c>
      <c r="C16" s="3">
        <v>223</v>
      </c>
      <c r="D16" s="19">
        <f>C16*'SYS INFO'!$C$9</f>
        <v>147.18</v>
      </c>
      <c r="F16" s="3">
        <v>975</v>
      </c>
      <c r="G16" s="3">
        <v>219</v>
      </c>
      <c r="H16" s="19">
        <f>G16 * 'SYS INFO'!$C$9</f>
        <v>144.54000000000002</v>
      </c>
    </row>
    <row r="17" spans="2:8" x14ac:dyDescent="0.25">
      <c r="B17" s="3">
        <v>1050</v>
      </c>
      <c r="C17" s="3">
        <v>224</v>
      </c>
      <c r="D17" s="19">
        <f>C17*'SYS INFO'!$C$9</f>
        <v>147.84</v>
      </c>
      <c r="F17" s="3">
        <v>1050</v>
      </c>
      <c r="G17" s="3">
        <v>219</v>
      </c>
      <c r="H17" s="19">
        <f>G17 * 'SYS INFO'!$C$9</f>
        <v>144.54000000000002</v>
      </c>
    </row>
    <row r="18" spans="2:8" x14ac:dyDescent="0.25">
      <c r="B18" s="3">
        <v>1125</v>
      </c>
      <c r="C18" s="3">
        <v>222</v>
      </c>
      <c r="D18" s="19">
        <f>C18*'SYS INFO'!$C$9</f>
        <v>146.52000000000001</v>
      </c>
      <c r="F18" s="3">
        <v>1125</v>
      </c>
      <c r="G18" s="3">
        <v>218</v>
      </c>
      <c r="H18" s="19">
        <f>G18 * 'SYS INFO'!$C$9</f>
        <v>143.88</v>
      </c>
    </row>
    <row r="19" spans="2:8" x14ac:dyDescent="0.25">
      <c r="B19" s="3">
        <v>1200</v>
      </c>
      <c r="C19" s="3">
        <v>221</v>
      </c>
      <c r="D19" s="19">
        <f>C19*'SYS INFO'!$C$9</f>
        <v>145.86000000000001</v>
      </c>
      <c r="F19" s="3">
        <v>1200</v>
      </c>
      <c r="G19" s="3">
        <v>224</v>
      </c>
      <c r="H19" s="19">
        <f>G19 * 'SYS INFO'!$C$9</f>
        <v>147.84</v>
      </c>
    </row>
    <row r="20" spans="2:8" x14ac:dyDescent="0.25">
      <c r="B20" s="3">
        <v>1275</v>
      </c>
      <c r="C20" s="3">
        <v>222</v>
      </c>
      <c r="D20" s="19">
        <f>C20*'SYS INFO'!$C$9</f>
        <v>146.52000000000001</v>
      </c>
      <c r="F20" s="3">
        <v>1275</v>
      </c>
      <c r="G20" s="3">
        <v>223</v>
      </c>
      <c r="H20" s="19">
        <f>G20 * 'SYS INFO'!$C$9</f>
        <v>147.18</v>
      </c>
    </row>
    <row r="21" spans="2:8" x14ac:dyDescent="0.25">
      <c r="B21" s="3">
        <v>1350</v>
      </c>
      <c r="C21" s="3">
        <v>221</v>
      </c>
      <c r="D21" s="19">
        <f>C21*'SYS INFO'!$C$9</f>
        <v>145.86000000000001</v>
      </c>
      <c r="F21" s="3">
        <v>1350</v>
      </c>
      <c r="G21" s="3">
        <v>219</v>
      </c>
      <c r="H21" s="19">
        <f>G21 * 'SYS INFO'!$C$9</f>
        <v>144.54000000000002</v>
      </c>
    </row>
    <row r="22" spans="2:8" x14ac:dyDescent="0.25">
      <c r="B22" s="3">
        <v>1425</v>
      </c>
      <c r="C22" s="3">
        <v>222</v>
      </c>
      <c r="D22" s="19">
        <f>C22*'SYS INFO'!$C$9</f>
        <v>146.52000000000001</v>
      </c>
      <c r="F22" s="3">
        <v>1425</v>
      </c>
      <c r="G22" s="3">
        <v>220</v>
      </c>
      <c r="H22" s="19">
        <f>G22 * 'SYS INFO'!$C$9</f>
        <v>145.20000000000002</v>
      </c>
    </row>
    <row r="23" spans="2:8" x14ac:dyDescent="0.25">
      <c r="B23" s="3">
        <v>1500</v>
      </c>
      <c r="C23" s="3">
        <v>218</v>
      </c>
      <c r="D23" s="19">
        <f>C23*'SYS INFO'!$C$9</f>
        <v>143.88</v>
      </c>
      <c r="F23" s="3">
        <v>1500</v>
      </c>
      <c r="G23" s="3">
        <v>218</v>
      </c>
      <c r="H23" s="19">
        <f>G23 * 'SYS INFO'!$C$9</f>
        <v>143.88</v>
      </c>
    </row>
    <row r="24" spans="2:8" x14ac:dyDescent="0.25">
      <c r="B24" s="3">
        <v>1575</v>
      </c>
      <c r="C24" s="3">
        <v>220</v>
      </c>
      <c r="D24" s="19">
        <f>C24*'SYS INFO'!$C$9</f>
        <v>145.20000000000002</v>
      </c>
      <c r="F24" s="3">
        <v>1575</v>
      </c>
      <c r="G24" s="3">
        <v>218</v>
      </c>
      <c r="H24" s="19">
        <f>G24 * 'SYS INFO'!$C$9</f>
        <v>143.88</v>
      </c>
    </row>
    <row r="25" spans="2:8" x14ac:dyDescent="0.25">
      <c r="B25" s="3">
        <v>1650</v>
      </c>
      <c r="C25" s="3">
        <v>220</v>
      </c>
      <c r="D25" s="19">
        <f>C25*'SYS INFO'!$C$9</f>
        <v>145.20000000000002</v>
      </c>
      <c r="F25" s="3">
        <v>1650</v>
      </c>
      <c r="G25" s="3">
        <v>218</v>
      </c>
      <c r="H25" s="19">
        <f>G25 * 'SYS INFO'!$C$9</f>
        <v>143.88</v>
      </c>
    </row>
    <row r="26" spans="2:8" x14ac:dyDescent="0.25">
      <c r="B26" s="3">
        <v>1725</v>
      </c>
      <c r="C26" s="3">
        <v>227</v>
      </c>
      <c r="D26" s="19">
        <f>C26*'SYS INFO'!$C$9</f>
        <v>149.82</v>
      </c>
      <c r="F26" s="3">
        <v>1725</v>
      </c>
      <c r="G26" s="3">
        <v>218</v>
      </c>
      <c r="H26" s="19">
        <f>G26 * 'SYS INFO'!$C$9</f>
        <v>143.88</v>
      </c>
    </row>
    <row r="27" spans="2:8" x14ac:dyDescent="0.25">
      <c r="B27" s="3">
        <v>1800</v>
      </c>
      <c r="C27" s="3">
        <v>224</v>
      </c>
      <c r="D27" s="19">
        <f>C27*'SYS INFO'!$C$9</f>
        <v>147.84</v>
      </c>
      <c r="F27" s="3">
        <v>1800</v>
      </c>
      <c r="G27" s="3">
        <v>260</v>
      </c>
      <c r="H27" s="19">
        <f>G27 * 'SYS INFO'!$C$9</f>
        <v>171.6</v>
      </c>
    </row>
    <row r="28" spans="2:8" x14ac:dyDescent="0.25">
      <c r="B28" s="3">
        <v>1875</v>
      </c>
      <c r="C28" s="3">
        <v>221</v>
      </c>
      <c r="D28" s="19">
        <f>C28*'SYS INFO'!$C$9</f>
        <v>145.86000000000001</v>
      </c>
      <c r="F28" s="3">
        <v>1875</v>
      </c>
      <c r="G28" s="3">
        <v>261</v>
      </c>
      <c r="H28" s="19">
        <f>G28 * 'SYS INFO'!$C$9</f>
        <v>172.26000000000002</v>
      </c>
    </row>
    <row r="29" spans="2:8" x14ac:dyDescent="0.25">
      <c r="B29" s="3">
        <v>1950</v>
      </c>
      <c r="C29" s="3">
        <v>265</v>
      </c>
      <c r="D29" s="19">
        <f>C29*'SYS INFO'!$C$9</f>
        <v>174.9</v>
      </c>
      <c r="F29" s="3">
        <v>1950</v>
      </c>
      <c r="G29" s="3">
        <v>259</v>
      </c>
      <c r="H29" s="19">
        <f>G29 * 'SYS INFO'!$C$9</f>
        <v>170.94</v>
      </c>
    </row>
    <row r="30" spans="2:8" x14ac:dyDescent="0.25">
      <c r="B30" s="3">
        <v>2025</v>
      </c>
      <c r="C30" s="3">
        <v>219</v>
      </c>
      <c r="D30" s="19">
        <f>C30*'SYS INFO'!$C$9</f>
        <v>144.54000000000002</v>
      </c>
      <c r="F30" s="3">
        <v>2025</v>
      </c>
      <c r="G30" s="3">
        <v>222</v>
      </c>
      <c r="H30" s="19">
        <f>G30 * 'SYS INFO'!$C$9</f>
        <v>146.52000000000001</v>
      </c>
    </row>
    <row r="31" spans="2:8" x14ac:dyDescent="0.25">
      <c r="B31" s="3">
        <v>2100</v>
      </c>
      <c r="C31" s="3">
        <v>225</v>
      </c>
      <c r="D31" s="19">
        <f>C31*'SYS INFO'!$C$9</f>
        <v>148.5</v>
      </c>
      <c r="F31" s="3">
        <v>2100</v>
      </c>
      <c r="G31" s="3">
        <v>246</v>
      </c>
      <c r="H31" s="19">
        <f>G31 * 'SYS INFO'!$C$9</f>
        <v>162.36000000000001</v>
      </c>
    </row>
    <row r="32" spans="2:8" x14ac:dyDescent="0.25">
      <c r="B32" s="3">
        <v>2175</v>
      </c>
      <c r="C32" s="3">
        <v>221</v>
      </c>
      <c r="D32" s="19">
        <f>C32*'SYS INFO'!$C$9</f>
        <v>145.86000000000001</v>
      </c>
      <c r="F32" s="3">
        <v>2175</v>
      </c>
      <c r="G32" s="3">
        <v>228</v>
      </c>
      <c r="H32" s="19">
        <f>G32 * 'SYS INFO'!$C$9</f>
        <v>150.48000000000002</v>
      </c>
    </row>
    <row r="33" spans="2:10" x14ac:dyDescent="0.25">
      <c r="B33" s="3">
        <v>2250</v>
      </c>
      <c r="C33" s="3">
        <v>221</v>
      </c>
      <c r="D33" s="19">
        <f>C33*'SYS INFO'!$C$9</f>
        <v>145.86000000000001</v>
      </c>
      <c r="F33" s="3">
        <v>2250</v>
      </c>
      <c r="G33" s="3">
        <v>219</v>
      </c>
      <c r="H33" s="19">
        <f>G33 * 'SYS INFO'!$C$9</f>
        <v>144.54000000000002</v>
      </c>
    </row>
    <row r="34" spans="2:10" x14ac:dyDescent="0.25">
      <c r="B34" s="3">
        <v>2325</v>
      </c>
      <c r="C34" s="3">
        <v>224</v>
      </c>
      <c r="D34" s="19">
        <f>C34*'SYS INFO'!$C$9</f>
        <v>147.84</v>
      </c>
      <c r="F34" s="3">
        <v>2325</v>
      </c>
      <c r="G34" s="3">
        <v>254</v>
      </c>
      <c r="H34" s="19">
        <f>G34 * 'SYS INFO'!$C$9</f>
        <v>167.64000000000001</v>
      </c>
    </row>
    <row r="35" spans="2:10" x14ac:dyDescent="0.25">
      <c r="B35" s="3">
        <v>2400</v>
      </c>
      <c r="C35" s="3">
        <v>229</v>
      </c>
      <c r="D35" s="19">
        <f>C35*'SYS INFO'!$C$9</f>
        <v>151.14000000000001</v>
      </c>
      <c r="F35" s="3">
        <v>2400</v>
      </c>
      <c r="G35" s="3">
        <v>225</v>
      </c>
      <c r="H35" s="19">
        <f>G35 * 'SYS INFO'!$C$9</f>
        <v>148.5</v>
      </c>
    </row>
    <row r="36" spans="2:10" x14ac:dyDescent="0.25">
      <c r="B36" s="3">
        <v>2475</v>
      </c>
      <c r="C36" s="3">
        <v>227</v>
      </c>
      <c r="D36" s="19">
        <f>C36*'SYS INFO'!$C$9</f>
        <v>149.82</v>
      </c>
      <c r="F36" s="3">
        <v>2475</v>
      </c>
      <c r="G36" s="3">
        <v>221</v>
      </c>
      <c r="H36" s="19">
        <f>G36 * 'SYS INFO'!$C$9</f>
        <v>145.86000000000001</v>
      </c>
    </row>
    <row r="37" spans="2:10" x14ac:dyDescent="0.25">
      <c r="B37" s="3">
        <v>2550</v>
      </c>
      <c r="C37" s="3">
        <v>223</v>
      </c>
      <c r="D37" s="19">
        <f>C37*'SYS INFO'!$C$9</f>
        <v>147.18</v>
      </c>
      <c r="F37" s="3">
        <v>2550</v>
      </c>
      <c r="G37" s="3">
        <v>242</v>
      </c>
      <c r="H37" s="19">
        <f>G37 * 'SYS INFO'!$C$9</f>
        <v>159.72</v>
      </c>
    </row>
    <row r="38" spans="2:10" x14ac:dyDescent="0.25">
      <c r="B38" s="3">
        <v>2625</v>
      </c>
      <c r="C38" s="3">
        <v>259</v>
      </c>
      <c r="D38" s="19">
        <f>C38*'SYS INFO'!$C$9</f>
        <v>170.94</v>
      </c>
      <c r="F38" s="3">
        <v>2625</v>
      </c>
      <c r="G38" s="3">
        <v>259</v>
      </c>
      <c r="H38" s="19">
        <f>G38 * 'SYS INFO'!$C$9</f>
        <v>170.94</v>
      </c>
    </row>
    <row r="39" spans="2:10" x14ac:dyDescent="0.25">
      <c r="B39" s="3">
        <v>2700</v>
      </c>
      <c r="C39" s="3">
        <v>225</v>
      </c>
      <c r="D39" s="19">
        <f>C39*'SYS INFO'!$C$9</f>
        <v>148.5</v>
      </c>
      <c r="F39" s="3">
        <v>2700</v>
      </c>
      <c r="G39" s="3">
        <v>222</v>
      </c>
      <c r="H39" s="19">
        <f>G39 * 'SYS INFO'!$C$9</f>
        <v>146.52000000000001</v>
      </c>
    </row>
    <row r="40" spans="2:10" x14ac:dyDescent="0.25">
      <c r="B40" s="3">
        <v>2775</v>
      </c>
      <c r="C40" s="3">
        <v>218</v>
      </c>
      <c r="D40" s="19">
        <f>C40*'SYS INFO'!$C$9</f>
        <v>143.88</v>
      </c>
      <c r="F40" s="3">
        <v>2775</v>
      </c>
      <c r="G40" s="3">
        <v>259</v>
      </c>
      <c r="H40" s="19">
        <f>G40 * 'SYS INFO'!$C$9</f>
        <v>170.94</v>
      </c>
    </row>
    <row r="41" spans="2:10" x14ac:dyDescent="0.25">
      <c r="B41" s="3">
        <v>2850</v>
      </c>
      <c r="C41" s="3">
        <v>222</v>
      </c>
      <c r="D41" s="19">
        <f>C41*'SYS INFO'!$C$9</f>
        <v>146.52000000000001</v>
      </c>
      <c r="F41" s="3">
        <v>2850</v>
      </c>
      <c r="G41" s="3">
        <v>258</v>
      </c>
      <c r="H41" s="19">
        <f>G41 * 'SYS INFO'!$C$9</f>
        <v>170.28</v>
      </c>
    </row>
    <row r="42" spans="2:10" x14ac:dyDescent="0.25">
      <c r="B42" s="3">
        <v>2925</v>
      </c>
      <c r="C42" s="3">
        <v>222</v>
      </c>
      <c r="D42" s="19">
        <f>C42*'SYS INFO'!$C$9</f>
        <v>146.52000000000001</v>
      </c>
      <c r="F42" s="3">
        <v>2925</v>
      </c>
      <c r="G42" s="3">
        <v>219</v>
      </c>
      <c r="H42" s="19">
        <f>G42 * 'SYS INFO'!$C$9</f>
        <v>144.54000000000002</v>
      </c>
    </row>
    <row r="43" spans="2:10" x14ac:dyDescent="0.25">
      <c r="B43" s="3">
        <v>3000</v>
      </c>
      <c r="C43" s="3">
        <v>220</v>
      </c>
      <c r="D43" s="19">
        <f>C43*'SYS INFO'!$C$9</f>
        <v>145.20000000000002</v>
      </c>
      <c r="E43" s="12" t="s">
        <v>43</v>
      </c>
      <c r="F43" s="3">
        <v>3000</v>
      </c>
      <c r="G43" s="3">
        <v>259</v>
      </c>
      <c r="H43" s="19">
        <f>G43 * 'SYS INFO'!$C$9</f>
        <v>170.94</v>
      </c>
      <c r="I43" s="12" t="s">
        <v>43</v>
      </c>
      <c r="J43" s="12"/>
    </row>
    <row r="44" spans="2:10" x14ac:dyDescent="0.25">
      <c r="B44" s="3">
        <v>3075</v>
      </c>
      <c r="C44" s="3">
        <v>150</v>
      </c>
      <c r="D44" s="19">
        <f>C44*'SYS INFO'!$C$9</f>
        <v>99</v>
      </c>
      <c r="F44" s="3">
        <v>3075</v>
      </c>
      <c r="G44" s="3">
        <v>147</v>
      </c>
      <c r="H44" s="19">
        <f>G44 * 'SYS INFO'!$C$9</f>
        <v>97.02000000000001</v>
      </c>
    </row>
    <row r="45" spans="2:10" x14ac:dyDescent="0.25">
      <c r="B45" s="3">
        <v>3150</v>
      </c>
      <c r="C45" s="3">
        <v>151</v>
      </c>
      <c r="D45" s="19">
        <f>C45*'SYS INFO'!$C$9</f>
        <v>99.660000000000011</v>
      </c>
      <c r="F45" s="3">
        <v>3150</v>
      </c>
      <c r="G45" s="3">
        <v>149</v>
      </c>
      <c r="H45" s="19">
        <f>G45 * 'SYS INFO'!$C$9</f>
        <v>98.34</v>
      </c>
    </row>
    <row r="46" spans="2:10" x14ac:dyDescent="0.25">
      <c r="B46" s="3">
        <v>3225</v>
      </c>
      <c r="C46" s="3">
        <v>152</v>
      </c>
      <c r="D46" s="19">
        <f>C46*'SYS INFO'!$C$9</f>
        <v>100.32000000000001</v>
      </c>
      <c r="F46" s="3">
        <v>3225</v>
      </c>
      <c r="G46" s="3">
        <v>146</v>
      </c>
      <c r="H46" s="19">
        <f>G46 * 'SYS INFO'!$C$9</f>
        <v>96.36</v>
      </c>
    </row>
    <row r="47" spans="2:10" x14ac:dyDescent="0.25">
      <c r="B47" s="3">
        <v>3300</v>
      </c>
      <c r="C47" s="3">
        <v>151</v>
      </c>
      <c r="D47" s="19">
        <f>C47*'SYS INFO'!$C$9</f>
        <v>99.660000000000011</v>
      </c>
      <c r="F47" s="3">
        <v>3300</v>
      </c>
      <c r="G47" s="3">
        <v>147</v>
      </c>
      <c r="H47" s="19">
        <f>G47 * 'SYS INFO'!$C$9</f>
        <v>97.02000000000001</v>
      </c>
    </row>
    <row r="48" spans="2:10" x14ac:dyDescent="0.25">
      <c r="B48" s="3">
        <v>3375</v>
      </c>
      <c r="C48" s="3">
        <v>149</v>
      </c>
      <c r="D48" s="19">
        <f>C48*'SYS INFO'!$C$9</f>
        <v>98.34</v>
      </c>
      <c r="F48" s="3">
        <v>3375</v>
      </c>
      <c r="G48" s="3">
        <v>146</v>
      </c>
      <c r="H48" s="19">
        <f>G48 * 'SYS INFO'!$C$9</f>
        <v>96.36</v>
      </c>
    </row>
    <row r="49" spans="2:8" x14ac:dyDescent="0.25">
      <c r="B49" s="3">
        <v>3450</v>
      </c>
      <c r="C49" s="3">
        <v>150</v>
      </c>
      <c r="D49" s="19">
        <f>C49*'SYS INFO'!$C$9</f>
        <v>99</v>
      </c>
      <c r="F49" s="3">
        <v>3450</v>
      </c>
      <c r="G49" s="3">
        <v>149</v>
      </c>
      <c r="H49" s="19">
        <f>G49 * 'SYS INFO'!$C$9</f>
        <v>98.34</v>
      </c>
    </row>
    <row r="50" spans="2:8" x14ac:dyDescent="0.25">
      <c r="B50" s="3">
        <v>3525</v>
      </c>
      <c r="C50" s="3">
        <v>148</v>
      </c>
      <c r="D50" s="19">
        <f>C50*'SYS INFO'!$C$9</f>
        <v>97.68</v>
      </c>
      <c r="F50" s="3">
        <v>3525</v>
      </c>
      <c r="G50" s="3">
        <v>145</v>
      </c>
      <c r="H50" s="19">
        <f>G50 * 'SYS INFO'!$C$9</f>
        <v>95.7</v>
      </c>
    </row>
    <row r="51" spans="2:8" x14ac:dyDescent="0.25">
      <c r="B51" s="3">
        <v>3600</v>
      </c>
      <c r="C51" s="3">
        <v>150</v>
      </c>
      <c r="D51" s="19">
        <f>C51*'SYS INFO'!$C$9</f>
        <v>99</v>
      </c>
      <c r="F51" s="3">
        <v>3600</v>
      </c>
      <c r="G51" s="3">
        <v>148</v>
      </c>
      <c r="H51" s="19">
        <f>G51 * 'SYS INFO'!$C$9</f>
        <v>97.68</v>
      </c>
    </row>
    <row r="52" spans="2:8" x14ac:dyDescent="0.25">
      <c r="B52" s="3">
        <v>3675</v>
      </c>
      <c r="C52" s="3">
        <v>151</v>
      </c>
      <c r="D52" s="19">
        <f>C52*'SYS INFO'!$C$9</f>
        <v>99.660000000000011</v>
      </c>
      <c r="F52" s="3">
        <v>3675</v>
      </c>
      <c r="G52" s="3">
        <v>147</v>
      </c>
      <c r="H52" s="19">
        <f>G52 * 'SYS INFO'!$C$9</f>
        <v>97.02000000000001</v>
      </c>
    </row>
    <row r="53" spans="2:8" x14ac:dyDescent="0.25">
      <c r="B53" s="3">
        <v>3750</v>
      </c>
      <c r="C53" s="3">
        <v>151</v>
      </c>
      <c r="D53" s="19">
        <f>C53*'SYS INFO'!$C$9</f>
        <v>99.660000000000011</v>
      </c>
      <c r="F53" s="3">
        <v>3750</v>
      </c>
      <c r="G53" s="3">
        <v>148</v>
      </c>
      <c r="H53" s="19">
        <f>G53 * 'SYS INFO'!$C$9</f>
        <v>97.68</v>
      </c>
    </row>
    <row r="54" spans="2:8" x14ac:dyDescent="0.25">
      <c r="B54" s="3">
        <v>3825</v>
      </c>
      <c r="C54" s="3">
        <v>151</v>
      </c>
      <c r="D54" s="19">
        <f>C54*'SYS INFO'!$C$9</f>
        <v>99.660000000000011</v>
      </c>
      <c r="F54" s="3">
        <v>3825</v>
      </c>
      <c r="G54" s="3">
        <v>145</v>
      </c>
      <c r="H54" s="19">
        <f>G54 * 'SYS INFO'!$C$9</f>
        <v>95.7</v>
      </c>
    </row>
    <row r="55" spans="2:8" x14ac:dyDescent="0.25">
      <c r="B55" s="3">
        <v>3900</v>
      </c>
      <c r="C55" s="3">
        <v>154</v>
      </c>
      <c r="D55" s="19">
        <f>C55*'SYS INFO'!$C$9</f>
        <v>101.64</v>
      </c>
      <c r="F55" s="3">
        <v>3900</v>
      </c>
      <c r="G55" s="3">
        <v>149</v>
      </c>
      <c r="H55" s="19">
        <f>G55 * 'SYS INFO'!$C$9</f>
        <v>98.34</v>
      </c>
    </row>
    <row r="56" spans="2:8" x14ac:dyDescent="0.25">
      <c r="B56" s="3">
        <v>3975</v>
      </c>
      <c r="C56" s="3">
        <v>151</v>
      </c>
      <c r="D56" s="19">
        <f>C56*'SYS INFO'!$C$9</f>
        <v>99.660000000000011</v>
      </c>
      <c r="F56" s="3">
        <v>3975</v>
      </c>
      <c r="G56" s="3">
        <v>149</v>
      </c>
      <c r="H56" s="19">
        <f>G56 * 'SYS INFO'!$C$9</f>
        <v>98.34</v>
      </c>
    </row>
    <row r="57" spans="2:8" x14ac:dyDescent="0.25">
      <c r="B57" s="3">
        <v>4050</v>
      </c>
      <c r="C57" s="3">
        <v>152</v>
      </c>
      <c r="D57" s="19">
        <f>C57*'SYS INFO'!$C$9</f>
        <v>100.32000000000001</v>
      </c>
      <c r="F57" s="3">
        <v>4050</v>
      </c>
      <c r="G57" s="3">
        <v>145</v>
      </c>
      <c r="H57" s="19">
        <f>G57 * 'SYS INFO'!$C$9</f>
        <v>95.7</v>
      </c>
    </row>
    <row r="58" spans="2:8" x14ac:dyDescent="0.25">
      <c r="B58" s="3">
        <v>4125</v>
      </c>
      <c r="C58" s="3">
        <v>151</v>
      </c>
      <c r="D58" s="19">
        <f>C58*'SYS INFO'!$C$9</f>
        <v>99.660000000000011</v>
      </c>
      <c r="F58" s="3">
        <v>4125</v>
      </c>
      <c r="G58" s="3">
        <v>144</v>
      </c>
      <c r="H58" s="19">
        <f>G58 * 'SYS INFO'!$C$9</f>
        <v>95.04</v>
      </c>
    </row>
    <row r="59" spans="2:8" x14ac:dyDescent="0.25">
      <c r="B59" s="3">
        <v>4200</v>
      </c>
      <c r="C59" s="3">
        <v>150</v>
      </c>
      <c r="D59" s="19">
        <f>C59*'SYS INFO'!$C$9</f>
        <v>99</v>
      </c>
      <c r="F59" s="3">
        <v>4200</v>
      </c>
      <c r="G59" s="3">
        <v>145</v>
      </c>
      <c r="H59" s="19">
        <f>G59 * 'SYS INFO'!$C$9</f>
        <v>95.7</v>
      </c>
    </row>
    <row r="60" spans="2:8" x14ac:dyDescent="0.25">
      <c r="B60" s="3">
        <v>4275</v>
      </c>
      <c r="C60" s="3">
        <v>152</v>
      </c>
      <c r="D60" s="19">
        <f>C60*'SYS INFO'!$C$9</f>
        <v>100.32000000000001</v>
      </c>
      <c r="F60" s="3">
        <v>4275</v>
      </c>
      <c r="G60" s="3">
        <v>146</v>
      </c>
      <c r="H60" s="19">
        <f>G60 * 'SYS INFO'!$C$9</f>
        <v>96.36</v>
      </c>
    </row>
    <row r="61" spans="2:8" x14ac:dyDescent="0.25">
      <c r="B61" s="3">
        <v>4350</v>
      </c>
      <c r="C61" s="3">
        <v>152</v>
      </c>
      <c r="D61" s="19">
        <f>C61*'SYS INFO'!$C$9</f>
        <v>100.32000000000001</v>
      </c>
      <c r="F61" s="3">
        <v>4350</v>
      </c>
      <c r="G61" s="3">
        <v>147</v>
      </c>
      <c r="H61" s="19">
        <f>G61 * 'SYS INFO'!$C$9</f>
        <v>97.02000000000001</v>
      </c>
    </row>
    <row r="62" spans="2:8" x14ac:dyDescent="0.25">
      <c r="B62" s="3">
        <v>4425</v>
      </c>
      <c r="C62" s="3">
        <v>152</v>
      </c>
      <c r="D62" s="19">
        <f>C62*'SYS INFO'!$C$9</f>
        <v>100.32000000000001</v>
      </c>
      <c r="F62" s="3">
        <v>4425</v>
      </c>
      <c r="G62" s="3">
        <v>147</v>
      </c>
      <c r="H62" s="19">
        <f>G62 * 'SYS INFO'!$C$9</f>
        <v>97.02000000000001</v>
      </c>
    </row>
    <row r="63" spans="2:8" x14ac:dyDescent="0.25">
      <c r="B63" s="3">
        <v>4500</v>
      </c>
      <c r="C63" s="3">
        <v>150</v>
      </c>
      <c r="D63" s="19">
        <f>C63*'SYS INFO'!$C$9</f>
        <v>99</v>
      </c>
      <c r="F63" s="3">
        <v>4500</v>
      </c>
      <c r="G63" s="3">
        <v>148</v>
      </c>
      <c r="H63" s="19">
        <f>G63 * 'SYS INFO'!$C$9</f>
        <v>97.68</v>
      </c>
    </row>
    <row r="64" spans="2:8" x14ac:dyDescent="0.25">
      <c r="B64" s="3">
        <v>4575</v>
      </c>
      <c r="C64" s="3">
        <v>151</v>
      </c>
      <c r="D64" s="19">
        <f>C64*'SYS INFO'!$C$9</f>
        <v>99.660000000000011</v>
      </c>
      <c r="F64" s="3">
        <v>4575</v>
      </c>
      <c r="G64" s="3">
        <v>146</v>
      </c>
      <c r="H64" s="19">
        <f>G64 * 'SYS INFO'!$C$9</f>
        <v>96.36</v>
      </c>
    </row>
    <row r="65" spans="2:8" x14ac:dyDescent="0.25">
      <c r="B65" s="3">
        <v>4650</v>
      </c>
      <c r="C65" s="3">
        <v>149</v>
      </c>
      <c r="D65" s="19">
        <f>C65*'SYS INFO'!$C$9</f>
        <v>98.34</v>
      </c>
      <c r="F65" s="3">
        <v>4650</v>
      </c>
      <c r="G65" s="3">
        <v>148</v>
      </c>
      <c r="H65" s="19">
        <f>G65 * 'SYS INFO'!$C$9</f>
        <v>97.68</v>
      </c>
    </row>
    <row r="66" spans="2:8" x14ac:dyDescent="0.25">
      <c r="B66" s="3">
        <v>4725</v>
      </c>
      <c r="C66" s="3">
        <v>151</v>
      </c>
      <c r="D66" s="19">
        <f>C66*'SYS INFO'!$C$9</f>
        <v>99.660000000000011</v>
      </c>
      <c r="F66" s="3">
        <v>4725</v>
      </c>
      <c r="G66" s="3">
        <v>145</v>
      </c>
      <c r="H66" s="19">
        <f>G66 * 'SYS INFO'!$C$9</f>
        <v>95.7</v>
      </c>
    </row>
    <row r="67" spans="2:8" x14ac:dyDescent="0.25">
      <c r="B67" s="3">
        <v>4800</v>
      </c>
      <c r="C67" s="3">
        <v>149</v>
      </c>
      <c r="D67" s="19">
        <f>C67*'SYS INFO'!$C$9</f>
        <v>98.34</v>
      </c>
      <c r="F67" s="3">
        <v>4800</v>
      </c>
      <c r="G67" s="3">
        <v>148</v>
      </c>
      <c r="H67" s="19">
        <f>G67 * 'SYS INFO'!$C$9</f>
        <v>97.68</v>
      </c>
    </row>
    <row r="68" spans="2:8" x14ac:dyDescent="0.25">
      <c r="B68" s="3">
        <v>4875</v>
      </c>
      <c r="C68" s="3">
        <v>151</v>
      </c>
      <c r="D68" s="19">
        <f>C68*'SYS INFO'!$C$9</f>
        <v>99.660000000000011</v>
      </c>
      <c r="F68" s="3">
        <v>4875</v>
      </c>
      <c r="G68" s="3">
        <v>145</v>
      </c>
      <c r="H68" s="19">
        <f>G68 * 'SYS INFO'!$C$9</f>
        <v>95.7</v>
      </c>
    </row>
    <row r="69" spans="2:8" x14ac:dyDescent="0.25">
      <c r="B69" s="3">
        <v>4950</v>
      </c>
      <c r="C69" s="3">
        <v>149</v>
      </c>
      <c r="D69" s="19">
        <f>C69*'SYS INFO'!$C$9</f>
        <v>98.34</v>
      </c>
      <c r="F69" s="3">
        <v>4950</v>
      </c>
      <c r="G69" s="3">
        <v>145</v>
      </c>
      <c r="H69" s="19">
        <f>G69 * 'SYS INFO'!$C$9</f>
        <v>95.7</v>
      </c>
    </row>
    <row r="70" spans="2:8" x14ac:dyDescent="0.25">
      <c r="B70" s="3">
        <v>5025</v>
      </c>
      <c r="C70" s="3">
        <v>149</v>
      </c>
      <c r="D70" s="19">
        <f>C70*'SYS INFO'!$C$9</f>
        <v>98.34</v>
      </c>
      <c r="F70" s="3">
        <v>5025</v>
      </c>
      <c r="G70" s="3">
        <v>144</v>
      </c>
      <c r="H70" s="19">
        <f>G70 * 'SYS INFO'!$C$9</f>
        <v>95.04</v>
      </c>
    </row>
    <row r="71" spans="2:8" x14ac:dyDescent="0.25">
      <c r="B71" s="3">
        <v>5100</v>
      </c>
      <c r="C71" s="3">
        <v>148</v>
      </c>
      <c r="D71" s="19">
        <f>C71*'SYS INFO'!$C$9</f>
        <v>97.68</v>
      </c>
      <c r="F71" s="3">
        <v>5100</v>
      </c>
      <c r="G71" s="3">
        <v>148</v>
      </c>
      <c r="H71" s="19">
        <f>G71 * 'SYS INFO'!$C$9</f>
        <v>97.68</v>
      </c>
    </row>
    <row r="72" spans="2:8" x14ac:dyDescent="0.25">
      <c r="B72" s="3">
        <v>5175</v>
      </c>
      <c r="C72" s="3">
        <v>152</v>
      </c>
      <c r="D72" s="19">
        <f>C72*'SYS INFO'!$C$9</f>
        <v>100.32000000000001</v>
      </c>
      <c r="F72" s="3">
        <v>5175</v>
      </c>
      <c r="G72" s="3">
        <v>148</v>
      </c>
      <c r="H72" s="19">
        <f>G72 * 'SYS INFO'!$C$9</f>
        <v>97.68</v>
      </c>
    </row>
    <row r="73" spans="2:8" x14ac:dyDescent="0.25">
      <c r="B73" s="3">
        <v>5250</v>
      </c>
      <c r="C73" s="3">
        <v>151</v>
      </c>
      <c r="D73" s="19">
        <f>C73*'SYS INFO'!$C$9</f>
        <v>99.660000000000011</v>
      </c>
      <c r="F73" s="3">
        <v>5250</v>
      </c>
      <c r="G73" s="3">
        <v>146</v>
      </c>
      <c r="H73" s="19">
        <f>G73 * 'SYS INFO'!$C$9</f>
        <v>96.36</v>
      </c>
    </row>
    <row r="74" spans="2:8" x14ac:dyDescent="0.25">
      <c r="B74" s="3">
        <v>5325</v>
      </c>
      <c r="C74" s="3">
        <v>149</v>
      </c>
      <c r="D74" s="19">
        <f>C74*'SYS INFO'!$C$9</f>
        <v>98.34</v>
      </c>
      <c r="F74" s="3">
        <v>5325</v>
      </c>
      <c r="G74" s="3">
        <v>148</v>
      </c>
      <c r="H74" s="19">
        <f>G74 * 'SYS INFO'!$C$9</f>
        <v>97.68</v>
      </c>
    </row>
    <row r="75" spans="2:8" x14ac:dyDescent="0.25">
      <c r="B75" s="3">
        <v>5400</v>
      </c>
      <c r="C75" s="3">
        <v>149</v>
      </c>
      <c r="D75" s="19">
        <f>C75*'SYS INFO'!$C$9</f>
        <v>98.34</v>
      </c>
      <c r="F75" s="3">
        <v>5400</v>
      </c>
      <c r="G75" s="3">
        <v>148</v>
      </c>
      <c r="H75" s="19">
        <f>G75 * 'SYS INFO'!$C$9</f>
        <v>97.68</v>
      </c>
    </row>
    <row r="76" spans="2:8" x14ac:dyDescent="0.25">
      <c r="B76" s="3">
        <v>5475</v>
      </c>
      <c r="C76" s="3">
        <v>151</v>
      </c>
      <c r="D76" s="19">
        <f>C76*'SYS INFO'!$C$9</f>
        <v>99.660000000000011</v>
      </c>
      <c r="F76" s="3">
        <v>5475</v>
      </c>
      <c r="G76" s="3">
        <v>145</v>
      </c>
      <c r="H76" s="19">
        <f>G76 * 'SYS INFO'!$C$9</f>
        <v>95.7</v>
      </c>
    </row>
    <row r="77" spans="2:8" x14ac:dyDescent="0.25">
      <c r="B77" s="3">
        <v>5550</v>
      </c>
      <c r="C77" s="3">
        <v>149</v>
      </c>
      <c r="D77" s="19">
        <f>C77*'SYS INFO'!$C$9</f>
        <v>98.34</v>
      </c>
      <c r="F77" s="3">
        <v>5550</v>
      </c>
      <c r="G77" s="3">
        <v>145</v>
      </c>
      <c r="H77" s="19">
        <f>G77 * 'SYS INFO'!$C$9</f>
        <v>95.7</v>
      </c>
    </row>
    <row r="78" spans="2:8" x14ac:dyDescent="0.25">
      <c r="B78" s="3">
        <v>5625</v>
      </c>
      <c r="C78" s="3">
        <v>149</v>
      </c>
      <c r="D78" s="19">
        <f>C78*'SYS INFO'!$C$9</f>
        <v>98.34</v>
      </c>
      <c r="F78" s="3">
        <v>5625</v>
      </c>
      <c r="G78" s="3">
        <v>145</v>
      </c>
      <c r="H78" s="19">
        <f>G78 * 'SYS INFO'!$C$9</f>
        <v>95.7</v>
      </c>
    </row>
    <row r="79" spans="2:8" x14ac:dyDescent="0.25">
      <c r="B79" s="3">
        <v>5700</v>
      </c>
      <c r="C79" s="3">
        <v>151</v>
      </c>
      <c r="D79" s="19">
        <f>C79*'SYS INFO'!$C$9</f>
        <v>99.660000000000011</v>
      </c>
      <c r="F79" s="3">
        <v>5700</v>
      </c>
      <c r="G79" s="3">
        <v>145</v>
      </c>
      <c r="H79" s="19">
        <f>G79 * 'SYS INFO'!$C$9</f>
        <v>95.7</v>
      </c>
    </row>
    <row r="80" spans="2:8" x14ac:dyDescent="0.25">
      <c r="B80" s="3">
        <v>5775</v>
      </c>
      <c r="C80" s="3">
        <v>149</v>
      </c>
      <c r="D80" s="19">
        <f>C80*'SYS INFO'!$C$9</f>
        <v>98.34</v>
      </c>
      <c r="F80" s="3">
        <v>5775</v>
      </c>
      <c r="G80" s="3">
        <v>149</v>
      </c>
      <c r="H80" s="19">
        <f>G80 * 'SYS INFO'!$C$9</f>
        <v>98.34</v>
      </c>
    </row>
    <row r="81" spans="2:9" x14ac:dyDescent="0.25">
      <c r="B81" s="3">
        <v>5850</v>
      </c>
      <c r="C81" s="3">
        <v>157</v>
      </c>
      <c r="D81" s="19">
        <f>C81*'SYS INFO'!$C$9</f>
        <v>103.62</v>
      </c>
      <c r="E81" s="12" t="s">
        <v>51</v>
      </c>
      <c r="F81" s="3">
        <v>5850</v>
      </c>
      <c r="G81" s="3">
        <v>151</v>
      </c>
      <c r="H81" s="19">
        <f>G81 * 'SYS INFO'!$C$9</f>
        <v>99.660000000000011</v>
      </c>
      <c r="I81" s="12" t="s">
        <v>51</v>
      </c>
    </row>
    <row r="82" spans="2:9" x14ac:dyDescent="0.25">
      <c r="B82" s="3">
        <v>5925</v>
      </c>
      <c r="C82" s="3">
        <v>160</v>
      </c>
      <c r="D82" s="19">
        <f>C82*'SYS INFO'!$C$9</f>
        <v>105.60000000000001</v>
      </c>
      <c r="F82" s="3">
        <v>5925</v>
      </c>
      <c r="G82" s="3">
        <v>157</v>
      </c>
      <c r="H82" s="19">
        <f>G82 * 'SYS INFO'!$C$9</f>
        <v>103.62</v>
      </c>
    </row>
    <row r="83" spans="2:9" x14ac:dyDescent="0.25">
      <c r="B83" s="3">
        <v>6000</v>
      </c>
      <c r="C83" s="3">
        <v>158</v>
      </c>
      <c r="D83" s="19">
        <f>C83*'SYS INFO'!$C$9</f>
        <v>104.28</v>
      </c>
      <c r="F83" s="3">
        <v>6000</v>
      </c>
      <c r="G83" s="3">
        <v>156</v>
      </c>
      <c r="H83" s="19">
        <f>G83 * 'SYS INFO'!$C$9</f>
        <v>102.96000000000001</v>
      </c>
    </row>
    <row r="84" spans="2:9" x14ac:dyDescent="0.25">
      <c r="B84" s="3">
        <v>6075</v>
      </c>
      <c r="C84" s="3">
        <v>160</v>
      </c>
      <c r="D84" s="19">
        <f>C84*'SYS INFO'!$C$9</f>
        <v>105.60000000000001</v>
      </c>
      <c r="F84" s="3">
        <v>6075</v>
      </c>
      <c r="G84" s="3">
        <v>153</v>
      </c>
      <c r="H84" s="19">
        <f>G84 * 'SYS INFO'!$C$9</f>
        <v>100.98</v>
      </c>
    </row>
    <row r="85" spans="2:9" x14ac:dyDescent="0.25">
      <c r="B85" s="3">
        <v>6150</v>
      </c>
      <c r="C85" s="3">
        <v>155</v>
      </c>
      <c r="D85" s="19">
        <f>C85*'SYS INFO'!$C$9</f>
        <v>102.30000000000001</v>
      </c>
      <c r="F85" s="3">
        <v>6150</v>
      </c>
      <c r="G85" s="3">
        <v>155</v>
      </c>
      <c r="H85" s="19">
        <f>G85 * 'SYS INFO'!$C$9</f>
        <v>102.30000000000001</v>
      </c>
    </row>
    <row r="86" spans="2:9" x14ac:dyDescent="0.25">
      <c r="B86" s="3">
        <v>6225</v>
      </c>
      <c r="C86" s="3">
        <v>155</v>
      </c>
      <c r="D86" s="19">
        <f>C86*'SYS INFO'!$C$9</f>
        <v>102.30000000000001</v>
      </c>
      <c r="F86" s="3">
        <v>6225</v>
      </c>
      <c r="G86" s="3">
        <v>156</v>
      </c>
      <c r="H86" s="19">
        <f>G86 * 'SYS INFO'!$C$9</f>
        <v>102.96000000000001</v>
      </c>
    </row>
    <row r="87" spans="2:9" x14ac:dyDescent="0.25">
      <c r="B87" s="3">
        <v>6300</v>
      </c>
      <c r="C87" s="3">
        <v>160</v>
      </c>
      <c r="D87" s="19">
        <f>C87*'SYS INFO'!$C$9</f>
        <v>105.60000000000001</v>
      </c>
      <c r="F87" s="3">
        <v>6300</v>
      </c>
      <c r="G87" s="3">
        <v>154</v>
      </c>
      <c r="H87" s="19">
        <f>G87 * 'SYS INFO'!$C$9</f>
        <v>101.64</v>
      </c>
    </row>
    <row r="88" spans="2:9" x14ac:dyDescent="0.25">
      <c r="B88" s="3">
        <v>6375</v>
      </c>
      <c r="C88" s="3">
        <v>159</v>
      </c>
      <c r="D88" s="19">
        <f>C88*'SYS INFO'!$C$9</f>
        <v>104.94000000000001</v>
      </c>
      <c r="F88" s="3">
        <v>6375</v>
      </c>
      <c r="G88" s="3">
        <v>156</v>
      </c>
      <c r="H88" s="19">
        <f>G88 * 'SYS INFO'!$C$9</f>
        <v>102.96000000000001</v>
      </c>
    </row>
    <row r="89" spans="2:9" x14ac:dyDescent="0.25">
      <c r="D89" s="19">
        <f>C89*'SYS INFO'!$C$9</f>
        <v>0</v>
      </c>
      <c r="F89" s="3">
        <v>6450</v>
      </c>
      <c r="G89" s="3">
        <v>155</v>
      </c>
      <c r="H89" s="19">
        <f>G89 * 'SYS INFO'!$C$9</f>
        <v>102.30000000000001</v>
      </c>
    </row>
    <row r="90" spans="2:9" x14ac:dyDescent="0.25">
      <c r="D90" s="19">
        <f>C90*'SYS INFO'!$C$9</f>
        <v>0</v>
      </c>
      <c r="F90" s="3">
        <v>6525</v>
      </c>
      <c r="G90" s="3">
        <v>151</v>
      </c>
      <c r="H90" s="19">
        <f>G90 * 'SYS INFO'!$C$9</f>
        <v>99.660000000000011</v>
      </c>
    </row>
    <row r="91" spans="2:9" x14ac:dyDescent="0.25">
      <c r="D91" s="19">
        <f>C91*'SYS INFO'!$C$9</f>
        <v>0</v>
      </c>
      <c r="F91" s="3">
        <v>6600</v>
      </c>
      <c r="G91" s="3">
        <v>151</v>
      </c>
      <c r="H91" s="19">
        <f>G91 * 'SYS INFO'!$C$9</f>
        <v>99.660000000000011</v>
      </c>
    </row>
    <row r="92" spans="2:9" x14ac:dyDescent="0.25">
      <c r="D92" s="19">
        <f>C92*'SYS INFO'!$C$9</f>
        <v>0</v>
      </c>
      <c r="F92" s="3">
        <v>6675</v>
      </c>
      <c r="G92" s="3">
        <v>160</v>
      </c>
      <c r="H92" s="19">
        <f>G92 * 'SYS INFO'!$C$9</f>
        <v>105.60000000000001</v>
      </c>
    </row>
    <row r="93" spans="2:9" x14ac:dyDescent="0.25">
      <c r="D93" s="19">
        <f>C93*'SYS INFO'!$C$9</f>
        <v>0</v>
      </c>
      <c r="F93" s="3">
        <v>6750</v>
      </c>
      <c r="G93" s="3">
        <v>153</v>
      </c>
      <c r="H93" s="19">
        <f>G93 * 'SYS INFO'!$C$9</f>
        <v>100.98</v>
      </c>
    </row>
    <row r="94" spans="2:9" x14ac:dyDescent="0.25">
      <c r="D94" s="19">
        <f>C94*'SYS INFO'!$C$9</f>
        <v>0</v>
      </c>
      <c r="F94" s="3">
        <v>6825</v>
      </c>
      <c r="G94" s="3">
        <v>151</v>
      </c>
      <c r="H94" s="19">
        <f>G94 * 'SYS INFO'!$C$9</f>
        <v>99.660000000000011</v>
      </c>
    </row>
    <row r="95" spans="2:9" x14ac:dyDescent="0.25">
      <c r="D95" s="19">
        <f>C95*'SYS INFO'!$C$9</f>
        <v>0</v>
      </c>
      <c r="F95" s="3">
        <v>6900</v>
      </c>
      <c r="G95" s="3">
        <v>161</v>
      </c>
      <c r="H95" s="19">
        <f>G95 * 'SYS INFO'!$C$9</f>
        <v>106.26</v>
      </c>
    </row>
    <row r="96" spans="2:9" x14ac:dyDescent="0.25">
      <c r="D96" s="19">
        <f>C96*'SYS INFO'!$C$9</f>
        <v>0</v>
      </c>
      <c r="F96" s="3">
        <v>6975</v>
      </c>
      <c r="G96" s="3">
        <v>154</v>
      </c>
      <c r="H96" s="19">
        <f>G96 * 'SYS INFO'!$C$9</f>
        <v>101.64</v>
      </c>
    </row>
    <row r="97" spans="4:8" x14ac:dyDescent="0.25">
      <c r="D97" s="19">
        <f>C97*'SYS INFO'!$C$9</f>
        <v>0</v>
      </c>
      <c r="F97" s="3">
        <v>7050</v>
      </c>
      <c r="G97" s="3">
        <v>154</v>
      </c>
      <c r="H97" s="19">
        <f>G97 * 'SYS INFO'!$C$9</f>
        <v>101.64</v>
      </c>
    </row>
    <row r="98" spans="4:8" x14ac:dyDescent="0.25">
      <c r="D98" s="19">
        <f>C98*'SYS INFO'!$C$9</f>
        <v>0</v>
      </c>
      <c r="F98" s="3">
        <v>7125</v>
      </c>
      <c r="G98" s="3">
        <v>196</v>
      </c>
      <c r="H98" s="19">
        <f>G98 * 'SYS INFO'!$C$9</f>
        <v>129.36000000000001</v>
      </c>
    </row>
    <row r="99" spans="4:8" x14ac:dyDescent="0.25">
      <c r="D99" s="19">
        <f>C99*'SYS INFO'!$C$9</f>
        <v>0</v>
      </c>
      <c r="F99" s="3">
        <v>7200</v>
      </c>
      <c r="G99" s="3">
        <v>192</v>
      </c>
      <c r="H99" s="19">
        <f>G99 * 'SYS INFO'!$C$9</f>
        <v>126.72</v>
      </c>
    </row>
    <row r="100" spans="4:8" x14ac:dyDescent="0.25">
      <c r="D100" s="19">
        <f>C100*'SYS INFO'!$C$9</f>
        <v>0</v>
      </c>
      <c r="F100" s="3">
        <v>7275</v>
      </c>
      <c r="G100" s="3">
        <v>193</v>
      </c>
      <c r="H100" s="19">
        <f>G100 * 'SYS INFO'!$C$9</f>
        <v>127.38000000000001</v>
      </c>
    </row>
    <row r="101" spans="4:8" x14ac:dyDescent="0.25">
      <c r="D101" s="19">
        <f>C101*'SYS INFO'!$C$9</f>
        <v>0</v>
      </c>
      <c r="F101" s="3">
        <v>7350</v>
      </c>
      <c r="G101" s="3">
        <v>194</v>
      </c>
      <c r="H101" s="19">
        <f>G101 * 'SYS INFO'!$C$9</f>
        <v>128.04</v>
      </c>
    </row>
    <row r="102" spans="4:8" x14ac:dyDescent="0.25">
      <c r="D102" s="19">
        <f>C102*'SYS INFO'!$C$9</f>
        <v>0</v>
      </c>
      <c r="F102" s="3">
        <v>7425</v>
      </c>
      <c r="G102" s="3">
        <v>190</v>
      </c>
      <c r="H102" s="19">
        <f>G102 * 'SYS INFO'!$C$9</f>
        <v>125.4</v>
      </c>
    </row>
    <row r="103" spans="4:8" x14ac:dyDescent="0.25">
      <c r="D103" s="19">
        <f>C103*'SYS INFO'!$C$9</f>
        <v>0</v>
      </c>
      <c r="F103" s="3">
        <v>7500</v>
      </c>
      <c r="G103" s="3">
        <v>191</v>
      </c>
      <c r="H103" s="19">
        <f>G103 * 'SYS INFO'!$C$9</f>
        <v>126.06</v>
      </c>
    </row>
    <row r="104" spans="4:8" x14ac:dyDescent="0.25">
      <c r="D104" s="19">
        <f>C104*'SYS INFO'!$C$9</f>
        <v>0</v>
      </c>
      <c r="F104" s="3">
        <v>7575</v>
      </c>
      <c r="G104" s="3">
        <v>171</v>
      </c>
      <c r="H104" s="19">
        <f>G104 * 'SYS INFO'!$C$9</f>
        <v>112.86</v>
      </c>
    </row>
    <row r="105" spans="4:8" x14ac:dyDescent="0.25">
      <c r="D105" s="19">
        <f>C105*'SYS INFO'!$C$9</f>
        <v>0</v>
      </c>
      <c r="F105" s="3">
        <v>7650</v>
      </c>
      <c r="G105" s="3">
        <v>154</v>
      </c>
      <c r="H105" s="19">
        <f>G105 * 'SYS INFO'!$C$9</f>
        <v>101.64</v>
      </c>
    </row>
    <row r="106" spans="4:8" x14ac:dyDescent="0.25">
      <c r="D106" s="19">
        <f>C106*'SYS INFO'!$C$9</f>
        <v>0</v>
      </c>
      <c r="F106" s="3">
        <v>7725</v>
      </c>
      <c r="G106" s="3">
        <v>152</v>
      </c>
      <c r="H106" s="19">
        <f>G106 * 'SYS INFO'!$C$9</f>
        <v>100.32000000000001</v>
      </c>
    </row>
    <row r="107" spans="4:8" x14ac:dyDescent="0.25">
      <c r="D107" s="19">
        <f>C107*'SYS INFO'!$C$9</f>
        <v>0</v>
      </c>
      <c r="F107" s="3">
        <v>7800</v>
      </c>
      <c r="G107" s="3">
        <v>154</v>
      </c>
      <c r="H107" s="19">
        <f>G107 * 'SYS INFO'!$C$9</f>
        <v>101.64</v>
      </c>
    </row>
    <row r="108" spans="4:8" x14ac:dyDescent="0.25">
      <c r="D108" s="19">
        <f>C108*'SYS INFO'!$C$9</f>
        <v>0</v>
      </c>
      <c r="F108" s="3">
        <v>7875</v>
      </c>
      <c r="G108" s="3">
        <v>154</v>
      </c>
      <c r="H108" s="19">
        <f>G108 * 'SYS INFO'!$C$9</f>
        <v>101.64</v>
      </c>
    </row>
    <row r="109" spans="4:8" x14ac:dyDescent="0.25">
      <c r="D109" s="19">
        <f>C109*'SYS INFO'!$C$9</f>
        <v>0</v>
      </c>
      <c r="F109" s="3">
        <v>7950</v>
      </c>
      <c r="G109" s="3">
        <v>154</v>
      </c>
      <c r="H109" s="19">
        <f>G109 * 'SYS INFO'!$C$9</f>
        <v>101.64</v>
      </c>
    </row>
    <row r="110" spans="4:8" x14ac:dyDescent="0.25">
      <c r="D110" s="19">
        <f>C110*'SYS INFO'!$C$9</f>
        <v>0</v>
      </c>
      <c r="F110" s="3">
        <v>8025</v>
      </c>
      <c r="G110" s="3">
        <v>158</v>
      </c>
      <c r="H110" s="19">
        <f>G110 * 'SYS INFO'!$C$9</f>
        <v>104.28</v>
      </c>
    </row>
    <row r="111" spans="4:8" x14ac:dyDescent="0.25">
      <c r="D111" s="19">
        <f>C111*'SYS INFO'!$C$9</f>
        <v>0</v>
      </c>
      <c r="F111" s="3">
        <v>8100</v>
      </c>
      <c r="G111" s="3">
        <v>151</v>
      </c>
      <c r="H111" s="19">
        <f>G111 * 'SYS INFO'!$C$9</f>
        <v>99.660000000000011</v>
      </c>
    </row>
    <row r="112" spans="4:8" x14ac:dyDescent="0.25">
      <c r="D112" s="19">
        <f>C112*'SYS INFO'!$C$9</f>
        <v>0</v>
      </c>
      <c r="F112" s="3">
        <v>8175</v>
      </c>
      <c r="G112" s="3">
        <v>151</v>
      </c>
      <c r="H112" s="19">
        <f>G112 * 'SYS INFO'!$C$9</f>
        <v>99.660000000000011</v>
      </c>
    </row>
    <row r="113" spans="4:8" x14ac:dyDescent="0.25">
      <c r="D113" s="19">
        <f>C113*'SYS INFO'!$C$9</f>
        <v>0</v>
      </c>
      <c r="F113" s="3">
        <v>8250</v>
      </c>
      <c r="G113" s="3">
        <v>155</v>
      </c>
      <c r="H113" s="19">
        <f>G113 * 'SYS INFO'!$C$9</f>
        <v>102.30000000000001</v>
      </c>
    </row>
    <row r="114" spans="4:8" x14ac:dyDescent="0.25">
      <c r="D114" s="19">
        <f>C114*'SYS INFO'!$C$9</f>
        <v>0</v>
      </c>
      <c r="F114" s="3">
        <v>8325</v>
      </c>
      <c r="G114" s="3">
        <v>153</v>
      </c>
      <c r="H114" s="19">
        <f>G114 * 'SYS INFO'!$C$9</f>
        <v>100.98</v>
      </c>
    </row>
  </sheetData>
  <mergeCells count="6">
    <mergeCell ref="V2:W2"/>
    <mergeCell ref="B2:C2"/>
    <mergeCell ref="F2:G2"/>
    <mergeCell ref="K2:L2"/>
    <mergeCell ref="N2:O2"/>
    <mergeCell ref="Q2:R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DBD1-C226-49A6-AAF8-43F72E436050}">
  <dimension ref="B2:L24"/>
  <sheetViews>
    <sheetView workbookViewId="0">
      <selection activeCell="H22" sqref="H22"/>
    </sheetView>
  </sheetViews>
  <sheetFormatPr defaultColWidth="8.85546875" defaultRowHeight="14.25" x14ac:dyDescent="0.2"/>
  <cols>
    <col min="1" max="1" width="8.85546875" style="2"/>
    <col min="2" max="2" width="6.85546875" style="2" bestFit="1" customWidth="1"/>
    <col min="3" max="3" width="22.28515625" style="2" customWidth="1"/>
    <col min="4" max="4" width="22.7109375" style="2" customWidth="1"/>
    <col min="5" max="6" width="8.85546875" style="2"/>
    <col min="7" max="7" width="20.5703125" style="2" customWidth="1"/>
    <col min="8" max="8" width="21.5703125" style="2" customWidth="1"/>
    <col min="9" max="9" width="8.85546875" style="2"/>
    <col min="10" max="10" width="15.28515625" style="2" customWidth="1"/>
    <col min="11" max="11" width="8.85546875" style="2"/>
    <col min="12" max="12" width="14.140625" style="2" customWidth="1"/>
    <col min="13" max="16384" width="8.85546875" style="2"/>
  </cols>
  <sheetData>
    <row r="2" spans="2:12" ht="25.15" customHeight="1" x14ac:dyDescent="0.2">
      <c r="B2" s="29" t="s">
        <v>69</v>
      </c>
      <c r="C2" s="29"/>
      <c r="D2" s="29"/>
      <c r="E2" s="23"/>
      <c r="F2" s="29" t="s">
        <v>70</v>
      </c>
      <c r="G2" s="29"/>
      <c r="H2" s="29"/>
      <c r="I2" s="23"/>
      <c r="J2" s="30" t="s">
        <v>90</v>
      </c>
      <c r="K2" s="30"/>
      <c r="L2" s="30"/>
    </row>
    <row r="3" spans="2:12" ht="30" x14ac:dyDescent="0.2">
      <c r="B3" s="4" t="s">
        <v>0</v>
      </c>
      <c r="C3" s="6" t="s">
        <v>1</v>
      </c>
      <c r="D3" s="6" t="s">
        <v>7</v>
      </c>
      <c r="F3" s="4" t="s">
        <v>0</v>
      </c>
      <c r="G3" s="6" t="s">
        <v>1</v>
      </c>
      <c r="H3" s="6" t="s">
        <v>7</v>
      </c>
      <c r="J3" s="11"/>
      <c r="K3" s="6" t="s">
        <v>72</v>
      </c>
      <c r="L3" s="6" t="s">
        <v>89</v>
      </c>
    </row>
    <row r="4" spans="2:12" ht="15" x14ac:dyDescent="0.2">
      <c r="B4" s="3">
        <v>1</v>
      </c>
      <c r="C4" s="3">
        <v>46.95</v>
      </c>
      <c r="D4" s="8">
        <f>(C4/1000)/('SYS INFO'!$C$3)*'SYS INFO'!$C$4*1000 * 'SYS INFO'!$C$9</f>
        <v>96.834375000000009</v>
      </c>
      <c r="F4" s="3">
        <v>1</v>
      </c>
      <c r="G4" s="3">
        <v>32.75</v>
      </c>
      <c r="H4" s="8">
        <f>((G4/1000)/('SYS INFO'!$C$3)*'SYS INFO'!$C$4*1000 - Baselines!$H$10) * 'SYS INFO'!$C$9</f>
        <v>60.51610563829788</v>
      </c>
      <c r="J4" s="6" t="s">
        <v>73</v>
      </c>
      <c r="K4" s="8">
        <f>Budget!D7-Budget!D8</f>
        <v>33.495000000000012</v>
      </c>
      <c r="L4" s="8">
        <f>Budget!D7-Budget!D9</f>
        <v>64.267500000000013</v>
      </c>
    </row>
    <row r="5" spans="2:12" ht="15" x14ac:dyDescent="0.2">
      <c r="B5" s="3">
        <v>2</v>
      </c>
      <c r="C5" s="3">
        <v>46.98</v>
      </c>
      <c r="D5" s="8">
        <f>(C5/1000)/('SYS INFO'!$C$3)*'SYS INFO'!$C$4*1000 * 'SYS INFO'!$C$9</f>
        <v>96.896249999999981</v>
      </c>
      <c r="F5" s="3">
        <v>2</v>
      </c>
      <c r="G5" s="3">
        <v>32.36</v>
      </c>
      <c r="H5" s="8">
        <f>((G5/1000)/('SYS INFO'!$C$3)*'SYS INFO'!$C$4*1000 - Baselines!$H$10) * 'SYS INFO'!$C$9</f>
        <v>59.711730638297865</v>
      </c>
      <c r="J5" s="6" t="s">
        <v>74</v>
      </c>
      <c r="K5" s="8">
        <f>D10-H10</f>
        <v>37.007144361702125</v>
      </c>
      <c r="L5" s="8">
        <f>D10-H22</f>
        <v>78.719144361702121</v>
      </c>
    </row>
    <row r="6" spans="2:12" ht="15" x14ac:dyDescent="0.2">
      <c r="B6" s="3">
        <v>3</v>
      </c>
      <c r="C6" s="3">
        <v>47</v>
      </c>
      <c r="D6" s="8">
        <f>(C6/1000)/('SYS INFO'!$C$3)*'SYS INFO'!$C$4*1000 * 'SYS INFO'!$C$9</f>
        <v>96.937499999999986</v>
      </c>
      <c r="F6" s="3">
        <v>3</v>
      </c>
      <c r="G6" s="3">
        <v>32.5</v>
      </c>
      <c r="H6" s="8">
        <f>((G6/1000)/('SYS INFO'!$C$3)*'SYS INFO'!$C$4*1000 - Baselines!$H$10) * 'SYS INFO'!$C$9</f>
        <v>60.000480638297873</v>
      </c>
      <c r="J6" s="6" t="s">
        <v>52</v>
      </c>
      <c r="K6" s="8">
        <f>ABS(K4-K5)</f>
        <v>3.5121443617021129</v>
      </c>
      <c r="L6" s="8">
        <f>ABS(L4-L5)</f>
        <v>14.451644361702108</v>
      </c>
    </row>
    <row r="7" spans="2:12" x14ac:dyDescent="0.2">
      <c r="B7" s="3">
        <v>4</v>
      </c>
      <c r="C7" s="3">
        <v>47.15</v>
      </c>
      <c r="D7" s="8">
        <f>(C7/1000)/('SYS INFO'!$C$3)*'SYS INFO'!$C$4*1000 * 'SYS INFO'!$C$9</f>
        <v>97.246875000000003</v>
      </c>
      <c r="F7" s="3">
        <v>4</v>
      </c>
      <c r="G7" s="3">
        <v>32.36</v>
      </c>
      <c r="H7" s="8">
        <f>((G7/1000)/('SYS INFO'!$C$3)*'SYS INFO'!$C$4*1000 - Baselines!$H$10) * 'SYS INFO'!$C$9</f>
        <v>59.711730638297865</v>
      </c>
    </row>
    <row r="8" spans="2:12" x14ac:dyDescent="0.2">
      <c r="B8" s="3">
        <v>5</v>
      </c>
      <c r="C8" s="3">
        <v>47.1</v>
      </c>
      <c r="D8" s="8">
        <f>(C8/1000)/('SYS INFO'!$C$3)*'SYS INFO'!$C$4*1000 * 'SYS INFO'!$C$9</f>
        <v>97.143750000000011</v>
      </c>
      <c r="F8" s="3">
        <v>5</v>
      </c>
      <c r="G8" s="3">
        <v>32.54</v>
      </c>
      <c r="H8" s="8">
        <f>((G8/1000)/('SYS INFO'!$C$3)*'SYS INFO'!$C$4*1000 - Baselines!$H$10) * 'SYS INFO'!$C$9</f>
        <v>60.082980638297862</v>
      </c>
    </row>
    <row r="10" spans="2:12" ht="15" x14ac:dyDescent="0.2">
      <c r="C10" s="6" t="s">
        <v>12</v>
      </c>
      <c r="D10" s="10">
        <f>AVERAGE(D4:D8)</f>
        <v>97.011749999999992</v>
      </c>
      <c r="G10" s="6" t="s">
        <v>12</v>
      </c>
      <c r="H10" s="10">
        <f>AVERAGE(H4:H8)</f>
        <v>60.004605638297868</v>
      </c>
    </row>
    <row r="12" spans="2:12" x14ac:dyDescent="0.2">
      <c r="G12" s="18" t="s">
        <v>75</v>
      </c>
    </row>
    <row r="14" spans="2:12" ht="22.9" customHeight="1" x14ac:dyDescent="0.2">
      <c r="F14" s="29" t="s">
        <v>88</v>
      </c>
      <c r="G14" s="29"/>
      <c r="H14" s="29"/>
    </row>
    <row r="15" spans="2:12" ht="30" x14ac:dyDescent="0.2">
      <c r="F15" s="4" t="s">
        <v>0</v>
      </c>
      <c r="G15" s="6" t="s">
        <v>1</v>
      </c>
      <c r="H15" s="6" t="s">
        <v>7</v>
      </c>
    </row>
    <row r="16" spans="2:12" x14ac:dyDescent="0.2">
      <c r="F16" s="3">
        <v>1</v>
      </c>
      <c r="G16" s="3">
        <v>12.3</v>
      </c>
      <c r="H16" s="8">
        <f>((G16/1000)/('SYS INFO'!$C$3)*'SYS INFO'!$C$4*1000 - Baselines!$H$10) * 'SYS INFO'!$C$9</f>
        <v>18.337980638297871</v>
      </c>
    </row>
    <row r="17" spans="6:8" x14ac:dyDescent="0.2">
      <c r="F17" s="3">
        <v>2</v>
      </c>
      <c r="G17" s="3">
        <v>12.31</v>
      </c>
      <c r="H17" s="8">
        <f>((G17/1000)/('SYS INFO'!$C$3)*'SYS INFO'!$C$4*1000 - Baselines!$H$10) * 'SYS INFO'!$C$9</f>
        <v>18.358605638297867</v>
      </c>
    </row>
    <row r="18" spans="6:8" x14ac:dyDescent="0.2">
      <c r="F18" s="3">
        <v>3</v>
      </c>
      <c r="G18" s="3">
        <v>12.29</v>
      </c>
      <c r="H18" s="8">
        <f>((G18/1000)/('SYS INFO'!$C$3)*'SYS INFO'!$C$4*1000 - Baselines!$H$10) * 'SYS INFO'!$C$9</f>
        <v>18.317355638297869</v>
      </c>
    </row>
    <row r="19" spans="6:8" x14ac:dyDescent="0.2">
      <c r="F19" s="3">
        <v>4</v>
      </c>
      <c r="G19" s="3">
        <v>12.26</v>
      </c>
      <c r="H19" s="8">
        <f>((G19/1000)/('SYS INFO'!$C$3)*'SYS INFO'!$C$4*1000 - Baselines!$H$10) * 'SYS INFO'!$C$9</f>
        <v>18.255480638297872</v>
      </c>
    </row>
    <row r="20" spans="6:8" x14ac:dyDescent="0.2">
      <c r="F20" s="3">
        <v>5</v>
      </c>
      <c r="G20" s="3">
        <v>12.23</v>
      </c>
      <c r="H20" s="8">
        <f>((G20/1000)/('SYS INFO'!$C$3)*'SYS INFO'!$C$4*1000 - Baselines!$H$10) * 'SYS INFO'!$C$9</f>
        <v>18.193605638297871</v>
      </c>
    </row>
    <row r="22" spans="6:8" ht="15" x14ac:dyDescent="0.2">
      <c r="G22" s="6" t="s">
        <v>12</v>
      </c>
      <c r="H22" s="10">
        <f>AVERAGE(H16:H20)</f>
        <v>18.292605638297868</v>
      </c>
    </row>
    <row r="24" spans="6:8" x14ac:dyDescent="0.2">
      <c r="G24" s="18" t="s">
        <v>75</v>
      </c>
    </row>
  </sheetData>
  <mergeCells count="4">
    <mergeCell ref="F14:H14"/>
    <mergeCell ref="J2:L2"/>
    <mergeCell ref="B2:D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3045-3C2D-471C-842A-3F9D869D102D}">
  <dimension ref="B2:F20"/>
  <sheetViews>
    <sheetView zoomScaleNormal="100" workbookViewId="0">
      <selection activeCell="D12" sqref="D12"/>
    </sheetView>
  </sheetViews>
  <sheetFormatPr defaultColWidth="9.140625" defaultRowHeight="14.25" x14ac:dyDescent="0.25"/>
  <cols>
    <col min="1" max="1" width="9.140625" style="11"/>
    <col min="2" max="4" width="16.140625" style="11" customWidth="1"/>
    <col min="5" max="5" width="39.85546875" style="11" customWidth="1"/>
    <col min="6" max="6" width="23.28515625" style="11" bestFit="1" customWidth="1"/>
    <col min="7" max="16384" width="9.140625" style="11"/>
  </cols>
  <sheetData>
    <row r="2" spans="2:6" ht="33.75" customHeight="1" x14ac:dyDescent="0.25">
      <c r="B2" s="14" t="s">
        <v>2</v>
      </c>
      <c r="C2" s="14" t="s">
        <v>31</v>
      </c>
      <c r="D2" s="14" t="s">
        <v>32</v>
      </c>
      <c r="E2" s="14" t="s">
        <v>58</v>
      </c>
    </row>
    <row r="3" spans="2:6" x14ac:dyDescent="0.25">
      <c r="B3" s="3" t="s">
        <v>35</v>
      </c>
      <c r="C3" s="3">
        <v>1</v>
      </c>
      <c r="D3" s="7">
        <f>'SYS INFO'!$C$5*C3</f>
        <v>3.3</v>
      </c>
      <c r="E3" s="7" t="s">
        <v>59</v>
      </c>
    </row>
    <row r="4" spans="2:6" x14ac:dyDescent="0.25">
      <c r="B4" s="3" t="s">
        <v>36</v>
      </c>
      <c r="C4" s="3"/>
      <c r="D4" s="7">
        <f>Baselines!H10</f>
        <v>10.652680851063831</v>
      </c>
      <c r="E4" s="7" t="s">
        <v>60</v>
      </c>
    </row>
    <row r="5" spans="2:6" x14ac:dyDescent="0.25">
      <c r="B5" s="3" t="s">
        <v>37</v>
      </c>
      <c r="C5" s="3">
        <v>6</v>
      </c>
      <c r="D5" s="7">
        <f>'SYS INFO'!$C$5*C5</f>
        <v>19.799999999999997</v>
      </c>
      <c r="E5" s="7" t="s">
        <v>59</v>
      </c>
    </row>
    <row r="6" spans="2:6" x14ac:dyDescent="0.25">
      <c r="B6" s="3" t="s">
        <v>38</v>
      </c>
      <c r="C6" s="3">
        <f>0.001</f>
        <v>1E-3</v>
      </c>
      <c r="D6" s="7">
        <f>'SYS INFO'!$C$5*C6</f>
        <v>3.3E-3</v>
      </c>
      <c r="E6" s="7" t="s">
        <v>59</v>
      </c>
    </row>
    <row r="7" spans="2:6" x14ac:dyDescent="0.25">
      <c r="B7" s="3" t="s">
        <v>71</v>
      </c>
      <c r="C7" s="3">
        <v>19.600000000000001</v>
      </c>
      <c r="D7" s="7">
        <f>'SYS INFO'!$C$5*C7</f>
        <v>64.680000000000007</v>
      </c>
      <c r="E7" s="7" t="s">
        <v>61</v>
      </c>
      <c r="F7" s="20" t="s">
        <v>83</v>
      </c>
    </row>
    <row r="8" spans="2:6" x14ac:dyDescent="0.25">
      <c r="B8" s="3" t="s">
        <v>82</v>
      </c>
      <c r="C8" s="3">
        <v>9.4499999999999993</v>
      </c>
      <c r="D8" s="7">
        <f>'SYS INFO'!$C$5*C8</f>
        <v>31.184999999999995</v>
      </c>
      <c r="E8" s="7" t="s">
        <v>61</v>
      </c>
      <c r="F8" s="20" t="s">
        <v>83</v>
      </c>
    </row>
    <row r="9" spans="2:6" x14ac:dyDescent="0.25">
      <c r="B9" s="3" t="s">
        <v>85</v>
      </c>
      <c r="C9" s="3">
        <f>0.125</f>
        <v>0.125</v>
      </c>
      <c r="D9" s="7">
        <f>'SYS INFO'!$C$5*C9</f>
        <v>0.41249999999999998</v>
      </c>
      <c r="E9" s="7" t="s">
        <v>61</v>
      </c>
      <c r="F9" s="20" t="s">
        <v>83</v>
      </c>
    </row>
    <row r="10" spans="2:6" x14ac:dyDescent="0.25">
      <c r="B10" s="3" t="s">
        <v>33</v>
      </c>
      <c r="C10" s="3">
        <v>15</v>
      </c>
      <c r="D10" s="7">
        <f>'SYS INFO'!$C$5*C10</f>
        <v>49.5</v>
      </c>
      <c r="E10" s="7" t="s">
        <v>59</v>
      </c>
    </row>
    <row r="11" spans="2:6" x14ac:dyDescent="0.25">
      <c r="B11" s="3" t="s">
        <v>34</v>
      </c>
      <c r="C11" s="3"/>
      <c r="D11" s="7">
        <f>'Camera Test'!W5</f>
        <v>52.299254158004175</v>
      </c>
      <c r="E11" s="7" t="s">
        <v>60</v>
      </c>
    </row>
    <row r="12" spans="2:6" x14ac:dyDescent="0.25">
      <c r="B12" s="3" t="s">
        <v>57</v>
      </c>
      <c r="C12" s="3"/>
      <c r="D12" s="7">
        <f>'Camera Test'!W6</f>
        <v>61.802509652509656</v>
      </c>
      <c r="E12" s="7" t="s">
        <v>60</v>
      </c>
    </row>
    <row r="13" spans="2:6" x14ac:dyDescent="0.25">
      <c r="B13" s="3" t="s">
        <v>63</v>
      </c>
      <c r="C13" s="3"/>
      <c r="D13" s="7">
        <f>SUM(D3:D12)*('SYS INFO'!$C$8)</f>
        <v>151.26664118929762</v>
      </c>
      <c r="E13" s="3" t="s">
        <v>62</v>
      </c>
    </row>
    <row r="14" spans="2:6" x14ac:dyDescent="0.25">
      <c r="B14" s="3" t="s">
        <v>65</v>
      </c>
      <c r="C14" s="3"/>
      <c r="D14" s="7">
        <f>SUM(D3:D7)*('SYS INFO'!$C$8)</f>
        <v>50.709444680851085</v>
      </c>
      <c r="E14" s="3" t="s">
        <v>62</v>
      </c>
    </row>
    <row r="15" spans="2:6" x14ac:dyDescent="0.25">
      <c r="B15" s="3" t="s">
        <v>68</v>
      </c>
      <c r="C15" s="3"/>
      <c r="D15" s="7">
        <f>SUM(D3:D6)*('SYS INFO'!$C$8)</f>
        <v>17.389444680851067</v>
      </c>
      <c r="E15" s="3" t="s">
        <v>62</v>
      </c>
    </row>
    <row r="16" spans="2:6" x14ac:dyDescent="0.25">
      <c r="B16" s="3" t="s">
        <v>87</v>
      </c>
      <c r="C16" s="3"/>
      <c r="D16" s="7">
        <f>(D3+D9)*('SYS INFO'!$C$8)</f>
        <v>1.9125000000000003</v>
      </c>
      <c r="E16" s="3" t="s">
        <v>62</v>
      </c>
    </row>
    <row r="17" spans="3:5" ht="15" x14ac:dyDescent="0.25">
      <c r="C17" s="21" t="s">
        <v>64</v>
      </c>
      <c r="D17" s="22">
        <f>SUM(D3:D13)-D8-D9</f>
        <v>413.30438585087524</v>
      </c>
    </row>
    <row r="18" spans="3:5" ht="15" x14ac:dyDescent="0.25">
      <c r="C18" s="14" t="s">
        <v>66</v>
      </c>
      <c r="D18" s="7">
        <f>SUM(D3:D7)+D14</f>
        <v>149.14542553191492</v>
      </c>
    </row>
    <row r="19" spans="3:5" ht="15" x14ac:dyDescent="0.25">
      <c r="C19" s="14" t="s">
        <v>84</v>
      </c>
      <c r="D19" s="7">
        <f>SUM(D3:D6)+D15+D8</f>
        <v>82.330425531914898</v>
      </c>
      <c r="E19" s="20" t="s">
        <v>91</v>
      </c>
    </row>
    <row r="20" spans="3:5" ht="22.5" x14ac:dyDescent="0.25">
      <c r="C20" s="14" t="s">
        <v>86</v>
      </c>
      <c r="D20" s="7">
        <f>D3+D16+D9</f>
        <v>5.625</v>
      </c>
      <c r="E20" s="2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 INFO</vt:lpstr>
      <vt:lpstr>Baselines</vt:lpstr>
      <vt:lpstr>Camera Test</vt:lpstr>
      <vt:lpstr>SleepStop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Abbott</dc:creator>
  <cp:lastModifiedBy>Felix Abbott</cp:lastModifiedBy>
  <dcterms:created xsi:type="dcterms:W3CDTF">2015-06-05T18:17:20Z</dcterms:created>
  <dcterms:modified xsi:type="dcterms:W3CDTF">2026-10-12T14:06:52Z</dcterms:modified>
</cp:coreProperties>
</file>